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30" yWindow="2730" windowWidth="17775" windowHeight="17100" tabRatio="600" firstSheet="0" activeTab="0" autoFilterDateGrouping="1"/>
  </bookViews>
  <sheets>
    <sheet name="Student" sheetId="1" state="visible" r:id="rId1"/>
    <sheet name="Table 1" sheetId="2" state="visible" r:id="rId2"/>
    <sheet name="Table 2" sheetId="3" state="visible" r:id="rId3"/>
    <sheet name="Table 3" sheetId="4" state="visible" r:id="rId4"/>
    <sheet name="Lab Exercise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"/>
    <numFmt numFmtId="166" formatCode="0.000"/>
    <numFmt numFmtId="167" formatCode="0.00000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sz val="8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0" tint="-0.1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1" fillId="0" borderId="0"/>
    <xf numFmtId="9" fontId="1" fillId="0" borderId="0"/>
  </cellStyleXfs>
  <cellXfs count="47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164" fontId="0" fillId="0" borderId="0" pivotButton="0" quotePrefix="0" xfId="1"/>
    <xf numFmtId="0" fontId="0" fillId="0" borderId="0" applyAlignment="1" pivotButton="0" quotePrefix="0" xfId="0">
      <alignment wrapText="1"/>
    </xf>
    <xf numFmtId="165" fontId="0" fillId="0" borderId="0" applyAlignment="1" pivotButton="0" quotePrefix="0" xfId="0">
      <alignment horizontal="center"/>
    </xf>
    <xf numFmtId="165" fontId="0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 wrapText="1"/>
    </xf>
    <xf numFmtId="165" fontId="0" fillId="0" borderId="1" applyAlignment="1" pivotButton="0" quotePrefix="0" xfId="0">
      <alignment horizontal="center"/>
    </xf>
    <xf numFmtId="0" fontId="3" fillId="2" borderId="0" pivotButton="0" quotePrefix="0" xfId="0"/>
    <xf numFmtId="0" fontId="0" fillId="2" borderId="0" pivotButton="0" quotePrefix="0" xfId="0"/>
    <xf numFmtId="0" fontId="2" fillId="3" borderId="0" pivotButton="0" quotePrefix="0" xfId="0"/>
    <xf numFmtId="0" fontId="0" fillId="3" borderId="0" pivotButton="0" quotePrefix="0" xfId="0"/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0" fillId="0" borderId="0" applyAlignment="1" applyProtection="1" pivotButton="0" quotePrefix="0" xfId="0">
      <alignment vertical="center" wrapText="1"/>
      <protection locked="0" hidden="0"/>
    </xf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 vertical="center"/>
    </xf>
    <xf numFmtId="166" fontId="0" fillId="4" borderId="1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/>
    </xf>
    <xf numFmtId="0" fontId="2" fillId="0" borderId="0" pivotButton="0" quotePrefix="0" xfId="0"/>
    <xf numFmtId="165" fontId="0" fillId="0" borderId="0" pivotButton="0" quotePrefix="0" xfId="0"/>
    <xf numFmtId="0" fontId="0" fillId="0" borderId="0" applyProtection="1" pivotButton="0" quotePrefix="0" xfId="0">
      <protection locked="0" hidden="0"/>
    </xf>
    <xf numFmtId="166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horizontal="center"/>
    </xf>
    <xf numFmtId="167" fontId="0" fillId="0" borderId="0" pivotButton="0" quotePrefix="0" xfId="0"/>
    <xf numFmtId="166" fontId="0" fillId="0" borderId="0" applyProtection="1" pivotButton="0" quotePrefix="0" xfId="0">
      <protection locked="0" hidden="0"/>
    </xf>
    <xf numFmtId="167" fontId="0" fillId="0" borderId="0" pivotButton="0" quotePrefix="0" xfId="0"/>
    <xf numFmtId="164" fontId="0" fillId="0" borderId="0" pivotButton="0" quotePrefix="0" xfId="1"/>
    <xf numFmtId="165" fontId="0" fillId="0" borderId="0" applyAlignment="1" pivotButton="0" quotePrefix="0" xfId="0">
      <alignment horizontal="center"/>
    </xf>
    <xf numFmtId="165" fontId="0" fillId="0" borderId="1" applyAlignment="1" pivotButton="0" quotePrefix="0" xfId="0">
      <alignment horizontal="center" wrapText="1"/>
    </xf>
    <xf numFmtId="165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/>
    </xf>
    <xf numFmtId="166" fontId="0" fillId="4" borderId="1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165" fontId="0" fillId="0" borderId="0" pivotButton="0" quotePrefix="0" xfId="0"/>
  </cellXfs>
  <cellStyles count="2">
    <cellStyle name="Normal" xfId="0" builtinId="0"/>
    <cellStyle name="Percent" xfId="1" builtinId="5"/>
  </cellStyles>
  <dxfs count="19"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5" formatCode="0.0%"/>
    </dxf>
    <dxf>
      <numFmt numFmtId="168" formatCode="0.00000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5" formatCode="0.0%"/>
    </dxf>
    <dxf>
      <numFmt numFmtId="168" formatCode="0.00000"/>
    </dxf>
    <dxf>
      <numFmt numFmtId="168" formatCode="0.00000"/>
    </dxf>
    <dxf>
      <numFmt numFmtId="168" formatCode="0.0000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164" formatCode="0.000"/>
      <protection locked="0" hidden="0"/>
    </dxf>
    <dxf>
      <protection locked="0" hidden="0"/>
    </dxf>
    <dxf>
      <numFmt numFmtId="164" formatCode="0.000"/>
    </dxf>
    <dxf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spPr>
            <a:ln w="25400" cap="rnd">
              <a:noFill/>
              <a:prstDash val="solid"/>
              <a:round/>
            </a:ln>
          </spPr>
          <marker>
            <symbol val="circle"/>
            <size val="6"/>
            <spPr>
              <a:solidFill>
                <a:schemeClr val="tx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2700" cap="rnd">
                <a:solidFill>
                  <a:schemeClr val="tx1"/>
                </a:solidFill>
                <a:prstDash val="solid"/>
              </a:ln>
            </spPr>
            <trendlineType val="linear"/>
            <intercept val="0"/>
            <dispRSqr val="1"/>
            <dispEq val="1"/>
            <trendlineLbl>
              <layout>
                <manualLayout>
                  <wMode val="factor"/>
                  <hMode val="factor"/>
                  <x val="-0.08353455818022747"/>
                  <y val="-0.02741417322834646"/>
                </manualLayout>
              </layout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</trendlineLbl>
          </trendline>
          <xVal>
            <numRef>
              <f>'Table 3'!$B$6:$B$11</f>
              <numCache>
                <formatCode>0.0</formatCode>
                <ptCount val="6"/>
                <pt idx="0">
                  <v>0</v>
                </pt>
                <pt idx="1">
                  <v>0.1</v>
                </pt>
                <pt idx="2">
                  <v>0.2</v>
                </pt>
                <pt idx="3">
                  <v>0.5</v>
                </pt>
                <pt idx="4">
                  <v>0.8</v>
                </pt>
                <pt idx="5">
                  <v>1</v>
                </pt>
              </numCache>
            </numRef>
          </xVal>
          <yVal>
            <numRef>
              <f>'Table 3'!$F$6:$F$11</f>
              <numCache>
                <formatCode>0.000</formatCode>
                <ptCount val="6"/>
                <pt idx="0">
                  <v>0</v>
                </pt>
                <pt idx="1">
                  <v>0.2225</v>
                </pt>
                <pt idx="2">
                  <v>0.4239999999999999</v>
                </pt>
                <pt idx="3">
                  <v>1.0485</v>
                </pt>
                <pt idx="4">
                  <v>1.6915</v>
                </pt>
                <pt idx="5">
                  <v>2.15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15755328"/>
        <axId val="215922800"/>
      </scatterChart>
      <valAx>
        <axId val="215755328"/>
        <scaling>
          <orientation val="minMax"/>
          <max val="1"/>
        </scaling>
        <delete val="0"/>
        <axPos val="b"/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sz="1100" b="1">
                    <a:solidFill>
                      <a:sysClr val="windowText" lastClr="000000"/>
                    </a:solidFill>
                  </a:rPr>
                  <a:t>Glucose Concentration (mmol/L)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3047626859142607"/>
              <y val="0.8961574074074072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0.0" sourceLinked="1"/>
        <majorTickMark val="out"/>
        <minorTickMark val="none"/>
        <tickLblPos val="nextTo"/>
        <spPr>
          <a:noFill/>
          <a:ln w="12700" cap="flat" cmpd="sng" algn="ctr">
            <a:solidFill>
              <a:schemeClr val="tx1"/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15922800"/>
        <crosses val="autoZero"/>
        <crossBetween val="midCat"/>
      </valAx>
      <valAx>
        <axId val="215922800"/>
        <scaling>
          <orientation val="minMax"/>
          <max val="2.5"/>
        </scaling>
        <delete val="0"/>
        <axPos val="l"/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sz="1100" b="1">
                    <a:solidFill>
                      <a:sysClr val="windowText" lastClr="000000"/>
                    </a:solidFill>
                  </a:rPr>
                  <a:t>Absorbance</a:t>
                </a:r>
                <a:r>
                  <a:rPr lang="en-AU" sz="1100" b="1" baseline="0">
                    <a:solidFill>
                      <a:sysClr val="windowText" lastClr="000000"/>
                    </a:solidFill>
                  </a:rPr>
                  <a:t xml:space="preserve"> (Units) at 405 nm</a:t>
                </a:r>
                <a:endParaRPr lang="en-AU" sz="1100" b="1">
                  <a:solidFill>
                    <a:sysClr val="windowText" lastClr="000000"/>
                  </a:solidFill>
                </a:endParaRPr>
              </a:p>
            </rich>
          </tx>
          <layout>
            <manualLayout>
              <xMode val="edge"/>
              <yMode val="edge"/>
              <wMode val="factor"/>
              <hMode val="factor"/>
              <x val="0.01388888888888889"/>
              <y val="0.1772569325573434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AU"/>
            </a:p>
          </txPr>
        </title>
        <numFmt formatCode="0.000" sourceLinked="1"/>
        <majorTickMark val="out"/>
        <minorTickMark val="none"/>
        <tickLblPos val="nextTo"/>
        <spPr>
          <a:noFill/>
          <a:ln w="12700" cap="flat" cmpd="sng" algn="ctr">
            <a:solidFill>
              <a:schemeClr val="tx1"/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15755328"/>
        <crosses val="autoZero"/>
        <crossBetween val="midCat"/>
      </valAx>
    </plotArea>
    <plotVisOnly val="1"/>
    <dispBlanksAs val="span"/>
  </chart>
  <spPr>
    <a:solidFill>
      <a:schemeClr val="bg1"/>
    </a:solidFill>
    <a:ln w="9525" cap="flat" cmpd="sng" algn="ctr">
      <a:solidFill>
        <a:schemeClr val="tx1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6</col>
      <colOff>607695</colOff>
      <row>3</row>
      <rowOff>45720</rowOff>
    </from>
    <to>
      <col>14</col>
      <colOff>302895</colOff>
      <row>15</row>
      <rowOff>83820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emp_table" displayName="temp_table" ref="Q1:R7" headerRowCount="1" totalsRowShown="0" headerRowDxfId="18" headerRowBorderDxfId="17" tableBorderDxfId="16" totalsRowBorderDxfId="15">
  <autoFilter ref="Q1:R7"/>
  <tableColumns count="2">
    <tableColumn id="1" name="Temp" dataDxfId="14"/>
    <tableColumn id="2" name="Density" data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M4" headerRowCount="1" totalsRowShown="0" headerRowDxfId="12">
  <autoFilter ref="A1:M4"/>
  <tableColumns count="13">
    <tableColumn id="1" name="Student Number" dataDxfId="11"/>
    <tableColumn id="2" name="Target" dataDxfId="10"/>
    <tableColumn id="3" name="Temp" dataDxfId="9"/>
    <tableColumn id="4" name="Density">
      <calculatedColumnFormula>VLOOKUP(C2,temp_table[],2)</calculatedColumnFormula>
    </tableColumn>
    <tableColumn id="5" name="Mass 1" dataDxfId="8"/>
    <tableColumn id="6" name="Mass 2" dataDxfId="7"/>
    <tableColumn id="7" name="Mass 3" dataDxfId="6"/>
    <tableColumn id="8" name="V 1" dataDxfId="5">
      <calculatedColumnFormula>IF(ISNUMBER(E2),E2/$D2,NA())</calculatedColumnFormula>
    </tableColumn>
    <tableColumn id="9" name="V 2" dataDxfId="4">
      <calculatedColumnFormula>IF(ISNUMBER(F2),F2/$D2,NA())</calculatedColumnFormula>
    </tableColumn>
    <tableColumn id="10" name="V 3" dataDxfId="3">
      <calculatedColumnFormula>IF(ISNUMBER(G2),G2/$D2,NA())</calculatedColumnFormula>
    </tableColumn>
    <tableColumn id="11" name="V mean" dataDxfId="1">
      <calculatedColumnFormula>_xlfn.AGGREGATE(1,6,H2:J2)</calculatedColumnFormula>
    </tableColumn>
    <tableColumn id="12" name="Rel Error" dataDxfId="2" dataCellStyle="Percent">
      <calculatedColumnFormula>ABS(B2-K2)/B2</calculatedColumnFormula>
    </tableColumn>
    <tableColumn id="13" name="Rel Precision" dataDxfId="0" dataCellStyle="Percent">
      <calculatedColumnFormula>ABS(MAX(H2:J2)-MIN(H2:J2))/K2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R4" sqref="R4"/>
    </sheetView>
  </sheetViews>
  <sheetFormatPr baseColWidth="8" defaultRowHeight="15"/>
  <cols>
    <col width="15.85546875" bestFit="1" customWidth="1" min="1" max="1"/>
    <col width="13.85546875" bestFit="1" customWidth="1" min="2" max="2"/>
    <col width="15.42578125" bestFit="1" customWidth="1" min="3" max="3"/>
    <col width="13.42578125" bestFit="1" customWidth="1" min="4" max="4"/>
  </cols>
  <sheetData>
    <row r="1">
      <c r="E1" s="34" t="inlineStr">
        <is>
          <t>Experimental Data</t>
        </is>
      </c>
      <c r="I1" s="34" t="inlineStr">
        <is>
          <t>Data Analysis</t>
        </is>
      </c>
      <c r="M1" s="34" t="inlineStr">
        <is>
          <t>Lab Exercises</t>
        </is>
      </c>
      <c r="P1" s="34" t="inlineStr">
        <is>
          <t>References</t>
        </is>
      </c>
    </row>
    <row r="2">
      <c r="A2" t="inlineStr">
        <is>
          <t>Student Number</t>
        </is>
      </c>
      <c r="B2" t="inlineStr">
        <is>
          <t>Student Name</t>
        </is>
      </c>
      <c r="C2" t="inlineStr">
        <is>
          <t>Partner Number</t>
        </is>
      </c>
      <c r="D2" t="inlineStr">
        <is>
          <t>Partner Name</t>
        </is>
      </c>
      <c r="E2" t="inlineStr">
        <is>
          <t>Tbl 1 2.5</t>
        </is>
      </c>
      <c r="F2" t="inlineStr">
        <is>
          <t>Glc dp 0.5</t>
        </is>
      </c>
      <c r="G2" t="inlineStr">
        <is>
          <t>Part C 2</t>
        </is>
      </c>
      <c r="H2" t="inlineStr">
        <is>
          <t>Part D 1</t>
        </is>
      </c>
      <c r="I2" t="inlineStr">
        <is>
          <t>Q1 0.5</t>
        </is>
      </c>
      <c r="J2" t="inlineStr">
        <is>
          <t>Q2 0.5</t>
        </is>
      </c>
      <c r="K2" t="inlineStr">
        <is>
          <t>Q3 0.5</t>
        </is>
      </c>
      <c r="L2" t="inlineStr">
        <is>
          <t>Q4 0.5</t>
        </is>
      </c>
      <c r="M2" t="inlineStr">
        <is>
          <t>LabEx1 2</t>
        </is>
      </c>
      <c r="N2" t="inlineStr">
        <is>
          <t>LabEx2 2</t>
        </is>
      </c>
      <c r="O2" t="inlineStr">
        <is>
          <t>LabEx3 2</t>
        </is>
      </c>
      <c r="P2" t="inlineStr">
        <is>
          <t>LitSel 1</t>
        </is>
      </c>
      <c r="Q2" t="inlineStr">
        <is>
          <t>QualRef 1</t>
        </is>
      </c>
      <c r="R2" t="inlineStr">
        <is>
          <t>Total</t>
        </is>
      </c>
    </row>
    <row r="3">
      <c r="R3">
        <f>SUM(E3:Q3)</f>
        <v/>
      </c>
    </row>
  </sheetData>
  <mergeCells count="4">
    <mergeCell ref="I1:L1"/>
    <mergeCell ref="M1:O1"/>
    <mergeCell ref="P1:Q1"/>
    <mergeCell ref="E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M3" sqref="M3"/>
    </sheetView>
  </sheetViews>
  <sheetFormatPr baseColWidth="8" defaultRowHeight="15"/>
  <cols>
    <col width="17.85546875" customWidth="1" style="32" min="1" max="1"/>
    <col width="12" customWidth="1" style="36" min="2" max="2"/>
    <col width="9.140625" customWidth="1" style="32" min="3" max="3"/>
    <col width="9.85546875" customWidth="1" min="4" max="4"/>
    <col width="9.140625" customWidth="1" style="32" min="5" max="7"/>
    <col width="9.5703125" bestFit="1" customWidth="1" style="37" min="8" max="8"/>
    <col width="9.28515625" bestFit="1" customWidth="1" style="37" min="9" max="10"/>
    <col width="9.85546875" customWidth="1" style="37" min="11" max="11"/>
    <col width="10.7109375" customWidth="1" style="38" min="12" max="12"/>
    <col width="14.5703125" customWidth="1" style="38" min="13" max="13"/>
    <col width="9.85546875" customWidth="1" min="18" max="18"/>
  </cols>
  <sheetData>
    <row r="1">
      <c r="A1" s="32" t="inlineStr">
        <is>
          <t>Student Number</t>
        </is>
      </c>
      <c r="B1" s="36" t="inlineStr">
        <is>
          <t>Target</t>
        </is>
      </c>
      <c r="C1" s="32" t="inlineStr">
        <is>
          <t>Temp</t>
        </is>
      </c>
      <c r="D1" t="inlineStr">
        <is>
          <t>Density</t>
        </is>
      </c>
      <c r="E1" s="32" t="inlineStr">
        <is>
          <t>Mass 1</t>
        </is>
      </c>
      <c r="F1" s="32" t="inlineStr">
        <is>
          <t>Mass 2</t>
        </is>
      </c>
      <c r="G1" s="32" t="inlineStr">
        <is>
          <t>Mass 3</t>
        </is>
      </c>
      <c r="H1" s="37" t="inlineStr">
        <is>
          <t>V 1</t>
        </is>
      </c>
      <c r="I1" s="37" t="inlineStr">
        <is>
          <t>V 2</t>
        </is>
      </c>
      <c r="J1" s="37" t="inlineStr">
        <is>
          <t>V 3</t>
        </is>
      </c>
      <c r="K1" s="37" t="inlineStr">
        <is>
          <t>V mean</t>
        </is>
      </c>
      <c r="L1" s="38" t="inlineStr">
        <is>
          <t>Rel Error</t>
        </is>
      </c>
      <c r="M1" s="38" t="inlineStr">
        <is>
          <t>Rel Precision</t>
        </is>
      </c>
      <c r="Q1" s="5" t="inlineStr">
        <is>
          <t>Temp</t>
        </is>
      </c>
      <c r="R1" s="6" t="inlineStr">
        <is>
          <t>Density</t>
        </is>
      </c>
    </row>
    <row r="2">
      <c r="A2" s="32" t="inlineStr">
        <is>
          <t>Test 1000</t>
        </is>
      </c>
      <c r="B2" s="36" t="n">
        <v>1</v>
      </c>
      <c r="C2" s="32" t="n">
        <v>23</v>
      </c>
      <c r="D2">
        <f>VLOOKUP(C2,temp_table[],2)</f>
        <v/>
      </c>
      <c r="E2" s="32" t="n">
        <v>0.992</v>
      </c>
      <c r="F2" s="32" t="n">
        <v>0.993</v>
      </c>
      <c r="G2" s="32" t="n">
        <v>0.993</v>
      </c>
      <c r="H2" s="37">
        <f>IF(ISNUMBER(E2),E2/$D2,NA())</f>
        <v/>
      </c>
      <c r="I2" s="37">
        <f>IF(ISNUMBER(F2),F2/$D2,NA())</f>
        <v/>
      </c>
      <c r="J2" s="37">
        <f>IF(ISNUMBER(G2),G2/$D2,NA())</f>
        <v/>
      </c>
      <c r="K2" s="37">
        <f>_xlfn.AGGREGATE(1,6,H2:J2)</f>
        <v/>
      </c>
      <c r="L2" s="38">
        <f>ABS(B2-K2)/B2</f>
        <v/>
      </c>
      <c r="M2" s="38">
        <f>ABS(MAX(H2:J2)-MIN(H2:J2))/K2</f>
        <v/>
      </c>
      <c r="Q2" s="3" t="n">
        <v>20</v>
      </c>
      <c r="R2" s="4" t="n">
        <v>0.99823</v>
      </c>
    </row>
    <row r="3">
      <c r="A3" s="32" t="inlineStr">
        <is>
          <t>Test 50</t>
        </is>
      </c>
      <c r="B3" s="36" t="n">
        <v>0.05</v>
      </c>
      <c r="C3" s="32" t="n">
        <v>23</v>
      </c>
      <c r="D3">
        <f>VLOOKUP(C3,temp_table[],2)</f>
        <v/>
      </c>
      <c r="E3" s="32" t="n">
        <v>0.051</v>
      </c>
      <c r="F3" s="32" t="n">
        <v>0.053</v>
      </c>
      <c r="G3" s="32" t="n">
        <v>0.053</v>
      </c>
      <c r="H3" s="37">
        <f>IF(ISNUMBER(E3),E3/$D3,NA())</f>
        <v/>
      </c>
      <c r="I3" s="37">
        <f>IF(ISNUMBER(F3),F3/$D3,NA())</f>
        <v/>
      </c>
      <c r="J3" s="37">
        <f>IF(ISNUMBER(G3),G3/$D3,NA())</f>
        <v/>
      </c>
      <c r="K3" s="37">
        <f>_xlfn.AGGREGATE(1,6,H3:J3)</f>
        <v/>
      </c>
      <c r="L3" s="38">
        <f>ABS(B3-K3)/B3</f>
        <v/>
      </c>
      <c r="M3" s="38">
        <f>ABS(MAX(H3:J3)-MIN(H3:J3))/K3</f>
        <v/>
      </c>
      <c r="Q3" s="3" t="n">
        <v>21</v>
      </c>
      <c r="R3" s="4" t="n">
        <v>0.99802</v>
      </c>
    </row>
    <row r="4">
      <c r="A4" s="32" t="inlineStr">
        <is>
          <t>Lab Exercise 1</t>
        </is>
      </c>
      <c r="B4" s="36" t="n">
        <v>750</v>
      </c>
      <c r="C4" s="32" t="n">
        <v>25</v>
      </c>
      <c r="D4">
        <f>VLOOKUP(C4,temp_table[],2)</f>
        <v/>
      </c>
      <c r="E4" s="32" t="n">
        <v>752</v>
      </c>
      <c r="H4" s="37">
        <f>IF(ISNUMBER(E4),E4/$D4,NA())</f>
        <v/>
      </c>
      <c r="I4" s="37">
        <f>IF(ISNUMBER(F4),F4/$D4,NA())</f>
        <v/>
      </c>
      <c r="J4" s="37">
        <f>IF(ISNUMBER(G4),G4/$D4,NA())</f>
        <v/>
      </c>
      <c r="K4" s="37">
        <f>_xlfn.AGGREGATE(1,6,H4:J4)</f>
        <v/>
      </c>
      <c r="L4" s="38">
        <f>ABS(B4-K4)/B4</f>
        <v/>
      </c>
      <c r="M4" s="38">
        <f>ABS(MAX(H4:J4)-MIN(H4:J4))/K4</f>
        <v/>
      </c>
      <c r="Q4" s="3" t="n">
        <v>22</v>
      </c>
      <c r="R4" s="4" t="n">
        <v>0.9978</v>
      </c>
    </row>
    <row r="5">
      <c r="Q5" s="3" t="n">
        <v>23</v>
      </c>
      <c r="R5" s="4" t="n">
        <v>0.99757</v>
      </c>
    </row>
    <row r="6">
      <c r="Q6" s="3" t="n">
        <v>24</v>
      </c>
      <c r="R6" s="4" t="n">
        <v>0.99733</v>
      </c>
    </row>
    <row r="7">
      <c r="Q7" s="7" t="n">
        <v>25</v>
      </c>
      <c r="R7" s="8" t="n">
        <v>0.99707</v>
      </c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C6" sqref="C6"/>
    </sheetView>
  </sheetViews>
  <sheetFormatPr baseColWidth="8" defaultRowHeight="15"/>
  <cols>
    <col width="19.140625" customWidth="1" style="39" min="1" max="1"/>
    <col width="17.85546875" customWidth="1" style="34" min="2" max="2"/>
    <col width="15.28515625" customWidth="1" style="34" min="3" max="3"/>
  </cols>
  <sheetData>
    <row r="1" ht="30" customFormat="1" customHeight="1" s="10">
      <c r="A1" s="40" t="inlineStr">
        <is>
          <t>Glucose Standard (mmol/L)</t>
        </is>
      </c>
      <c r="B1" s="13" t="inlineStr">
        <is>
          <t>Vol 10 mmol/L Stock (uL)</t>
        </is>
      </c>
      <c r="C1" s="13" t="inlineStr">
        <is>
          <t>Vol DI Water (uL)</t>
        </is>
      </c>
    </row>
    <row r="2">
      <c r="A2" s="41" t="n">
        <v>0</v>
      </c>
      <c r="B2" s="2">
        <f>A2*1000/10</f>
        <v/>
      </c>
      <c r="C2" s="2">
        <f>1000-B2</f>
        <v/>
      </c>
    </row>
    <row r="3">
      <c r="A3" s="41" t="n">
        <v>0.1</v>
      </c>
      <c r="B3" s="2">
        <f>A3*1000/10</f>
        <v/>
      </c>
      <c r="C3" s="2">
        <f>1000-B3</f>
        <v/>
      </c>
    </row>
    <row r="4">
      <c r="A4" s="41" t="n">
        <v>0.2</v>
      </c>
      <c r="B4" s="2">
        <f>A4*1000/10</f>
        <v/>
      </c>
      <c r="C4" s="2">
        <f>1000-B4</f>
        <v/>
      </c>
    </row>
    <row r="5">
      <c r="A5" s="41" t="n">
        <v>0.5</v>
      </c>
      <c r="B5" s="2">
        <f>A5*1000/10</f>
        <v/>
      </c>
      <c r="C5" s="2">
        <f>1000-B5</f>
        <v/>
      </c>
    </row>
    <row r="6">
      <c r="A6" s="41" t="n">
        <v>0.8</v>
      </c>
      <c r="B6" s="2">
        <f>A6*1000/10</f>
        <v/>
      </c>
      <c r="C6" s="2">
        <f>1000-B6</f>
        <v/>
      </c>
    </row>
    <row r="7">
      <c r="A7" s="41" t="n">
        <v>1</v>
      </c>
      <c r="B7" s="2">
        <f>A7*1000/10</f>
        <v/>
      </c>
      <c r="C7" s="2">
        <f>1000-B7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C6" sqref="C6:D11"/>
    </sheetView>
  </sheetViews>
  <sheetFormatPr baseColWidth="8" defaultRowHeight="15"/>
  <cols>
    <col width="12.28515625" customWidth="1" min="2" max="2"/>
    <col width="12.7109375" customWidth="1" min="3" max="5"/>
    <col width="13.7109375" customWidth="1" min="6" max="6"/>
    <col width="16.28515625" customWidth="1" min="8" max="8"/>
  </cols>
  <sheetData>
    <row r="1" ht="18.75" customHeight="1">
      <c r="A1" s="15" t="inlineStr">
        <is>
          <t>Practical 1:  Glucose Standard Curve</t>
        </is>
      </c>
      <c r="B1" s="16" t="n"/>
      <c r="C1" s="16" t="n"/>
      <c r="D1" s="16" t="n"/>
      <c r="E1" s="16" t="n"/>
      <c r="F1" s="16" t="n"/>
    </row>
    <row r="3">
      <c r="A3" s="17" t="inlineStr">
        <is>
          <t>Enter your absorbance values into the table below.</t>
        </is>
      </c>
      <c r="B3" s="18" t="n"/>
      <c r="C3" s="18" t="n"/>
      <c r="D3" s="18" t="n"/>
      <c r="E3" s="18" t="n"/>
      <c r="H3" s="17" t="inlineStr">
        <is>
          <t>For the trendline, select intercept at 0, equation for the line, and r2 value</t>
        </is>
      </c>
      <c r="I3" s="18" t="n"/>
      <c r="J3" s="18" t="n"/>
      <c r="K3" s="18" t="n"/>
      <c r="L3" s="18" t="n"/>
      <c r="M3" s="18" t="n"/>
      <c r="N3" s="18" t="n"/>
    </row>
    <row r="5" ht="57.6" customFormat="1" customHeight="1" s="22">
      <c r="A5" s="19" t="inlineStr">
        <is>
          <t>Tube</t>
        </is>
      </c>
      <c r="B5" s="20" t="inlineStr">
        <is>
          <t>Glucose conc. (mmol/L)</t>
        </is>
      </c>
      <c r="C5" s="20" t="inlineStr">
        <is>
          <t>Duplicate Absorbance 1 (Units)</t>
        </is>
      </c>
      <c r="D5" s="20" t="inlineStr">
        <is>
          <t>Duplicate Absorbance 2 (Units)</t>
        </is>
      </c>
      <c r="E5" s="20" t="inlineStr">
        <is>
          <t>Mean Absorbance (Units)</t>
        </is>
      </c>
      <c r="F5" s="20" t="inlineStr">
        <is>
          <t>Mean Blank Adjust Absorbance (Units)</t>
        </is>
      </c>
      <c r="G5" s="21" t="inlineStr">
        <is>
          <t>Include</t>
        </is>
      </c>
    </row>
    <row r="6">
      <c r="A6" s="23" t="inlineStr">
        <is>
          <t>B</t>
        </is>
      </c>
      <c r="B6" s="42">
        <f>IF(G6="yes",0,NA())</f>
        <v/>
      </c>
      <c r="C6" s="43" t="n">
        <v>0.117</v>
      </c>
      <c r="D6" s="43" t="n">
        <v>0.099</v>
      </c>
      <c r="E6" s="43">
        <f>IF(ISNUMBER(C6),AVERAGE(C6:D6),"")</f>
        <v/>
      </c>
      <c r="F6" s="43">
        <f>IF(AND(ISNUMBER(E6),ISNUMBER($E$6),G6="yes"),E6-$E$6,NA())</f>
        <v/>
      </c>
      <c r="G6" t="inlineStr">
        <is>
          <t>yes</t>
        </is>
      </c>
    </row>
    <row r="7">
      <c r="A7" s="23" t="inlineStr">
        <is>
          <t>S1</t>
        </is>
      </c>
      <c r="B7" s="42">
        <f>IF(G7="yes",0.1,NA())</f>
        <v/>
      </c>
      <c r="C7" s="43" t="n">
        <v>0.245</v>
      </c>
      <c r="D7" s="43" t="n">
        <v>0.263</v>
      </c>
      <c r="E7" s="43">
        <f>IF(ISNUMBER(C7),AVERAGE(C7:D7),"")</f>
        <v/>
      </c>
      <c r="F7" s="43">
        <f>IF(AND(ISNUMBER(E7),ISNUMBER($E$6),G7="yes"),E7-$E$6,NA())</f>
        <v/>
      </c>
      <c r="G7" t="inlineStr">
        <is>
          <t>yes</t>
        </is>
      </c>
    </row>
    <row r="8">
      <c r="A8" s="23" t="inlineStr">
        <is>
          <t>S2</t>
        </is>
      </c>
      <c r="B8" s="42">
        <f>IF(G8="yes",0.2,NA())</f>
        <v/>
      </c>
      <c r="C8" s="43" t="n">
        <v>0.448</v>
      </c>
      <c r="D8" s="43" t="n">
        <v>0.443</v>
      </c>
      <c r="E8" s="43">
        <f>IF(ISNUMBER(C8),AVERAGE(C8:D8),"")</f>
        <v/>
      </c>
      <c r="F8" s="43">
        <f>IF(AND(ISNUMBER(E8),ISNUMBER($E$6),G8="yes"),E8-$E$6,NA())</f>
        <v/>
      </c>
      <c r="G8" t="inlineStr">
        <is>
          <t>yes</t>
        </is>
      </c>
    </row>
    <row r="9">
      <c r="A9" s="23" t="inlineStr">
        <is>
          <t>S3</t>
        </is>
      </c>
      <c r="B9" s="42">
        <f>IF(G9="yes",0.5,NA())</f>
        <v/>
      </c>
      <c r="C9" s="43" t="n">
        <v>1.02</v>
      </c>
      <c r="D9" s="43" t="n">
        <v>1.045</v>
      </c>
      <c r="E9" s="43">
        <f>IF(ISNUMBER(C9),AVERAGE(C9:D9),"")</f>
        <v/>
      </c>
      <c r="F9" s="43">
        <f>IF(AND(ISNUMBER(E9),ISNUMBER($E$6),G9="yes"),E9-$E$6,NA())</f>
        <v/>
      </c>
      <c r="G9" t="inlineStr">
        <is>
          <t>yes</t>
        </is>
      </c>
    </row>
    <row r="10">
      <c r="A10" s="23" t="inlineStr">
        <is>
          <t>S4</t>
        </is>
      </c>
      <c r="B10" s="42">
        <f>IF(G10="yes",0.8,NA())</f>
        <v/>
      </c>
      <c r="C10" s="43" t="n">
        <v>1.59</v>
      </c>
      <c r="D10" s="43" t="n">
        <v>1.613</v>
      </c>
      <c r="E10" s="43">
        <f>IF(ISNUMBER(C10),AVERAGE(C10:D10),"")</f>
        <v/>
      </c>
      <c r="F10" s="43">
        <f>IF(AND(ISNUMBER(E10),ISNUMBER($E$6),G10="yes"),E10-$E$6,NA())</f>
        <v/>
      </c>
      <c r="G10" t="inlineStr">
        <is>
          <t>yes</t>
        </is>
      </c>
    </row>
    <row r="11">
      <c r="A11" s="23" t="inlineStr">
        <is>
          <t>S5</t>
        </is>
      </c>
      <c r="B11" s="42">
        <f>IF(G11="yes",1,NA())</f>
        <v/>
      </c>
      <c r="C11" s="43" t="n">
        <v>2.013</v>
      </c>
      <c r="D11" s="43" t="n">
        <v>2.036</v>
      </c>
      <c r="E11" s="43">
        <f>IF(ISNUMBER(C11),AVERAGE(C11:D11),"")</f>
        <v/>
      </c>
      <c r="F11" s="43">
        <f>IF(AND(ISNUMBER(E11),ISNUMBER($E$6),G11="yes"),E11-$E$6,NA())</f>
        <v/>
      </c>
      <c r="G11" t="inlineStr">
        <is>
          <t>yes</t>
        </is>
      </c>
    </row>
    <row r="12">
      <c r="A12" s="26" t="n"/>
      <c r="B12" s="26" t="n"/>
      <c r="C12" s="44" t="n"/>
      <c r="D12" s="44" t="n"/>
      <c r="E12" s="44" t="n"/>
      <c r="F12" s="44" t="n"/>
    </row>
    <row r="13">
      <c r="A13" s="28" t="n"/>
      <c r="B13" s="28" t="n"/>
      <c r="C13" s="45" t="n"/>
      <c r="D13" s="45" t="n"/>
      <c r="E13" s="45" t="n"/>
      <c r="F13" s="45" t="n"/>
    </row>
    <row r="14">
      <c r="A14" s="28" t="n"/>
      <c r="B14" s="28" t="n"/>
      <c r="C14" s="45" t="n"/>
      <c r="D14" s="45" t="n"/>
      <c r="E14" s="45" t="n"/>
      <c r="F14" s="45" t="n"/>
    </row>
    <row r="15">
      <c r="A15" s="28" t="n"/>
      <c r="B15" s="28" t="n"/>
      <c r="C15" s="45" t="n"/>
      <c r="D15" s="45" t="n"/>
      <c r="E15" s="45" t="n"/>
      <c r="F15" s="45" t="n"/>
    </row>
    <row r="16">
      <c r="A16" s="28" t="n"/>
      <c r="B16" s="28" t="n"/>
      <c r="C16" s="45" t="n"/>
      <c r="D16" s="45" t="n"/>
      <c r="E16" s="45" t="n"/>
      <c r="F16" s="45" t="n"/>
    </row>
    <row r="17">
      <c r="H17" s="30" t="inlineStr">
        <is>
          <t>Data Analysis 4</t>
        </is>
      </c>
    </row>
    <row r="18">
      <c r="H18" t="inlineStr">
        <is>
          <t>Slope</t>
        </is>
      </c>
      <c r="I18">
        <f t="array" ref="I18:J18">LINEST(F6:F11,B6:B11,FALSE)</f>
        <v/>
      </c>
      <c r="J18" t="n">
        <v>0</v>
      </c>
    </row>
    <row r="19">
      <c r="H19" t="inlineStr">
        <is>
          <t>Abs</t>
        </is>
      </c>
      <c r="I19" t="n">
        <v>0.752</v>
      </c>
    </row>
    <row r="20">
      <c r="H20" t="inlineStr">
        <is>
          <t>Glucose (mmol/L)</t>
        </is>
      </c>
      <c r="I20" s="46">
        <f>5*I19/I18</f>
        <v/>
      </c>
      <c r="J20" t="inlineStr">
        <is>
          <t>Corrected for 1 in 5 dilution</t>
        </is>
      </c>
    </row>
  </sheetData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N4" sqref="N4"/>
    </sheetView>
  </sheetViews>
  <sheetFormatPr baseColWidth="8" defaultRowHeight="15"/>
  <cols>
    <col width="13.7109375" bestFit="1" customWidth="1" min="1" max="1"/>
    <col width="12" bestFit="1" customWidth="1" min="2" max="2"/>
  </cols>
  <sheetData>
    <row r="1">
      <c r="A1" s="30" t="inlineStr">
        <is>
          <t>Lab Exercise 2</t>
        </is>
      </c>
    </row>
    <row r="2">
      <c r="A2" t="inlineStr">
        <is>
          <t>Lactose MW</t>
        </is>
      </c>
      <c r="B2" t="n">
        <v>342.3</v>
      </c>
      <c r="C2" t="inlineStr">
        <is>
          <t>g/mol</t>
        </is>
      </c>
      <c r="F2" t="inlineStr">
        <is>
          <t>C1</t>
        </is>
      </c>
      <c r="G2" t="inlineStr">
        <is>
          <t>V1 Reqd</t>
        </is>
      </c>
      <c r="H2" t="inlineStr">
        <is>
          <t>C2</t>
        </is>
      </c>
      <c r="I2" t="inlineStr">
        <is>
          <t>V2</t>
        </is>
      </c>
      <c r="J2" t="inlineStr">
        <is>
          <t>DI Water</t>
        </is>
      </c>
      <c r="M2" t="inlineStr">
        <is>
          <t>C1</t>
        </is>
      </c>
      <c r="N2" t="inlineStr">
        <is>
          <t>V1</t>
        </is>
      </c>
      <c r="O2" t="inlineStr">
        <is>
          <t>C2 Actual</t>
        </is>
      </c>
      <c r="P2" t="inlineStr">
        <is>
          <t>V2</t>
        </is>
      </c>
      <c r="Q2" t="inlineStr">
        <is>
          <t>DI Water</t>
        </is>
      </c>
    </row>
    <row r="3">
      <c r="A3" t="inlineStr">
        <is>
          <t>Mass</t>
        </is>
      </c>
      <c r="B3" t="n">
        <v>1.712</v>
      </c>
      <c r="C3" t="inlineStr">
        <is>
          <t>g</t>
        </is>
      </c>
      <c r="E3" t="inlineStr">
        <is>
          <t>S1</t>
        </is>
      </c>
      <c r="F3" t="n">
        <v>50</v>
      </c>
      <c r="G3">
        <f>H3*I3/F3</f>
        <v/>
      </c>
      <c r="H3" t="n">
        <v>0.8</v>
      </c>
      <c r="I3" t="n">
        <v>1000</v>
      </c>
      <c r="J3">
        <f>I3-G3</f>
        <v/>
      </c>
      <c r="L3" t="inlineStr">
        <is>
          <t>S1</t>
        </is>
      </c>
      <c r="M3" t="n">
        <v>50</v>
      </c>
      <c r="N3" t="n">
        <v>32</v>
      </c>
      <c r="O3">
        <f>M3*N3/P3</f>
        <v/>
      </c>
      <c r="P3" t="n">
        <v>1000</v>
      </c>
      <c r="Q3">
        <f>P3-N3</f>
        <v/>
      </c>
    </row>
    <row r="4">
      <c r="A4" t="inlineStr">
        <is>
          <t>Volume</t>
        </is>
      </c>
      <c r="B4" t="n">
        <v>100</v>
      </c>
      <c r="C4" t="inlineStr">
        <is>
          <t>mL</t>
        </is>
      </c>
      <c r="E4" t="inlineStr">
        <is>
          <t>S1</t>
        </is>
      </c>
      <c r="F4" t="n">
        <v>50</v>
      </c>
      <c r="G4">
        <f>H4*I4/F4</f>
        <v/>
      </c>
      <c r="H4" t="n">
        <v>0.2</v>
      </c>
      <c r="I4" t="n">
        <v>1000</v>
      </c>
      <c r="J4">
        <f>I4-G4</f>
        <v/>
      </c>
      <c r="L4" t="inlineStr">
        <is>
          <t>S1</t>
        </is>
      </c>
      <c r="M4" t="n">
        <v>50</v>
      </c>
      <c r="N4" t="n">
        <v>8</v>
      </c>
      <c r="O4">
        <f>M4*N4/P4</f>
        <v/>
      </c>
      <c r="P4" t="n">
        <v>1000</v>
      </c>
      <c r="Q4">
        <f>P4-N4</f>
        <v/>
      </c>
    </row>
    <row r="5">
      <c r="A5" t="inlineStr">
        <is>
          <t>Concentration</t>
        </is>
      </c>
      <c r="B5">
        <f>1000*B3/B2/(B4/1000)</f>
        <v/>
      </c>
      <c r="C5" t="inlineStr">
        <is>
          <t>mmol/L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Doug Chesher</dc:creator>
  <dcterms:created xsi:type="dcterms:W3CDTF">2015-06-05T18:17:20Z</dcterms:created>
  <dcterms:modified xsi:type="dcterms:W3CDTF">2026-08-24T23:02:31Z</dcterms:modified>
  <cp:lastModifiedBy>Doug Chesher</cp:lastModifiedBy>
</cp:coreProperties>
</file>