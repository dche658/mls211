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7ba37898bfb7e549/Documents/University/UniSC/2026-MLS211/mls211/Task 1a/"/>
    </mc:Choice>
  </mc:AlternateContent>
  <xr:revisionPtr revIDLastSave="51" documentId="11_EC06E994A736F2321B180973F8EF4893847AD96D" xr6:coauthVersionLast="47" xr6:coauthVersionMax="47" xr10:uidLastSave="{B3B71BD1-7FA1-4361-A014-182B40CBB4A4}"/>
  <bookViews>
    <workbookView xWindow="15735" yWindow="3270" windowWidth="20520" windowHeight="17100" xr2:uid="{00000000-000D-0000-FFFF-FFFF00000000}"/>
  </bookViews>
  <sheets>
    <sheet name="Student" sheetId="1" r:id="rId1"/>
    <sheet name="Table 1" sheetId="2" r:id="rId2"/>
    <sheet name="Table 2" sheetId="3" r:id="rId3"/>
    <sheet name="Table 3" sheetId="4" r:id="rId4"/>
    <sheet name="Lab Exercise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4" i="1" l="1"/>
  <c r="T4" i="1"/>
  <c r="T3" i="1"/>
  <c r="S3" i="1"/>
  <c r="R3" i="1"/>
  <c r="B12" i="5"/>
  <c r="Q11" i="5"/>
  <c r="O11" i="5"/>
  <c r="G11" i="5"/>
  <c r="J11" i="5" s="1"/>
  <c r="Q10" i="5"/>
  <c r="O10" i="5"/>
  <c r="J10" i="5"/>
  <c r="G10" i="5"/>
  <c r="B5" i="5"/>
  <c r="B6" i="5" s="1"/>
  <c r="B3" i="5"/>
  <c r="E11" i="4"/>
  <c r="F11" i="4" s="1"/>
  <c r="B11" i="4"/>
  <c r="E10" i="4"/>
  <c r="F10" i="4" s="1"/>
  <c r="B10" i="4"/>
  <c r="E9" i="4"/>
  <c r="F9" i="4" s="1"/>
  <c r="B9" i="4"/>
  <c r="E8" i="4"/>
  <c r="F8" i="4" s="1"/>
  <c r="B8" i="4"/>
  <c r="E7" i="4"/>
  <c r="F7" i="4" s="1"/>
  <c r="B7" i="4"/>
  <c r="E6" i="4"/>
  <c r="F6" i="4" s="1"/>
  <c r="B6" i="4"/>
  <c r="J6" i="2"/>
  <c r="D6" i="2"/>
  <c r="I6" i="2" s="1"/>
  <c r="D5" i="2"/>
  <c r="H5" i="2" s="1"/>
  <c r="J4" i="2"/>
  <c r="I4" i="2"/>
  <c r="H4" i="2"/>
  <c r="M4" i="2" s="1"/>
  <c r="D4" i="2"/>
  <c r="D3" i="2"/>
  <c r="J3" i="2" s="1"/>
  <c r="D2" i="2"/>
  <c r="H2" i="2" s="1"/>
  <c r="R4" i="1"/>
  <c r="B7" i="3"/>
  <c r="C7" i="3" s="1"/>
  <c r="B6" i="3"/>
  <c r="C6" i="3" s="1"/>
  <c r="B5" i="3"/>
  <c r="C5" i="3" s="1"/>
  <c r="B4" i="3"/>
  <c r="C4" i="3" s="1"/>
  <c r="B3" i="3"/>
  <c r="C3" i="3" s="1"/>
  <c r="B2" i="3"/>
  <c r="C2" i="3" s="1"/>
  <c r="I18" i="4" l="1" a="1"/>
  <c r="I5" i="2"/>
  <c r="K5" i="2" s="1"/>
  <c r="L5" i="2" s="1"/>
  <c r="H3" i="2"/>
  <c r="J5" i="2"/>
  <c r="I3" i="2"/>
  <c r="I2" i="2"/>
  <c r="K2" i="2" s="1"/>
  <c r="L2" i="2" s="1"/>
  <c r="K4" i="2"/>
  <c r="L4" i="2" s="1"/>
  <c r="J2" i="2"/>
  <c r="M2" i="2" s="1"/>
  <c r="H6" i="2"/>
  <c r="K6" i="2" l="1"/>
  <c r="L6" i="2" s="1"/>
  <c r="M6" i="2"/>
  <c r="M3" i="2"/>
  <c r="K3" i="2"/>
  <c r="L3" i="2" s="1"/>
  <c r="M5" i="2"/>
  <c r="J18" i="4"/>
  <c r="I18" i="4"/>
  <c r="I20" i="4" s="1"/>
</calcChain>
</file>

<file path=xl/sharedStrings.xml><?xml version="1.0" encoding="utf-8"?>
<sst xmlns="http://schemas.openxmlformats.org/spreadsheetml/2006/main" count="103" uniqueCount="83">
  <si>
    <t>Glucose Standard (mmol/L)</t>
  </si>
  <si>
    <t>Vol 10 mmol/L Stock (uL)</t>
  </si>
  <si>
    <t>Vol DI Water (uL)</t>
  </si>
  <si>
    <t>Experimental Data</t>
  </si>
  <si>
    <t>Data Analysis</t>
  </si>
  <si>
    <t>Lab Exercises</t>
  </si>
  <si>
    <t>References</t>
  </si>
  <si>
    <t>Student Number</t>
  </si>
  <si>
    <t>Student Name</t>
  </si>
  <si>
    <t>Partner Number</t>
  </si>
  <si>
    <t>Partner Name</t>
  </si>
  <si>
    <t>Tbl 1 2.5</t>
  </si>
  <si>
    <t>Glc dp 0.5</t>
  </si>
  <si>
    <t>Part C 2</t>
  </si>
  <si>
    <t>Part D 1</t>
  </si>
  <si>
    <t>Q1 0.5</t>
  </si>
  <si>
    <t>Q2 0.5</t>
  </si>
  <si>
    <t>Q3 0.5</t>
  </si>
  <si>
    <t>Q4 0.5</t>
  </si>
  <si>
    <t>LabEx1 2</t>
  </si>
  <si>
    <t>LabEx2 2</t>
  </si>
  <si>
    <t>LabEx3 2</t>
  </si>
  <si>
    <t>LitSel 1</t>
  </si>
  <si>
    <t>QualRef 1</t>
  </si>
  <si>
    <t>Total</t>
  </si>
  <si>
    <t>Target</t>
  </si>
  <si>
    <t>Temp</t>
  </si>
  <si>
    <t>Density</t>
  </si>
  <si>
    <t>Mass 1</t>
  </si>
  <si>
    <t>Mass 2</t>
  </si>
  <si>
    <t>Mass 3</t>
  </si>
  <si>
    <t>V 1</t>
  </si>
  <si>
    <t>V 2</t>
  </si>
  <si>
    <t>V 3</t>
  </si>
  <si>
    <t>V mean</t>
  </si>
  <si>
    <t>Rel Error</t>
  </si>
  <si>
    <t>Rel Precision</t>
  </si>
  <si>
    <t>Test 1000</t>
  </si>
  <si>
    <t>Test 50</t>
  </si>
  <si>
    <t>Lab Exercise 1</t>
  </si>
  <si>
    <t>Practical 1:  Glucose Standard Curve</t>
  </si>
  <si>
    <t>Enter your absorbance values into the table below.</t>
  </si>
  <si>
    <t>For the trendline, select intercept at 0, equation for the line, and r2 value</t>
  </si>
  <si>
    <t>Tube</t>
  </si>
  <si>
    <t>Glucose conc. (mmol/L)</t>
  </si>
  <si>
    <t>Duplicate Absorbance 1 (Units)</t>
  </si>
  <si>
    <t>Duplicate Absorbance 2 (Units)</t>
  </si>
  <si>
    <t>Mean Absorbance (Units)</t>
  </si>
  <si>
    <t>Mean Blank Adjust Absorbance (Units)</t>
  </si>
  <si>
    <t>Include</t>
  </si>
  <si>
    <t>B</t>
  </si>
  <si>
    <t>yes</t>
  </si>
  <si>
    <t>S1</t>
  </si>
  <si>
    <t>S2</t>
  </si>
  <si>
    <t>S3</t>
  </si>
  <si>
    <t>S4</t>
  </si>
  <si>
    <t>S5</t>
  </si>
  <si>
    <t>Data Analysis 4</t>
  </si>
  <si>
    <t>Slope</t>
  </si>
  <si>
    <t>Abs</t>
  </si>
  <si>
    <t>Glucose (mmol/L)</t>
  </si>
  <si>
    <t>Corrected for 1 in 5 dilution</t>
  </si>
  <si>
    <t>Mass</t>
  </si>
  <si>
    <t>Volume</t>
  </si>
  <si>
    <t>Relative error</t>
  </si>
  <si>
    <t>Lab Exercise 2</t>
  </si>
  <si>
    <t>Lactose MW</t>
  </si>
  <si>
    <t>g/mol</t>
  </si>
  <si>
    <t>C1</t>
  </si>
  <si>
    <t>V1 Reqd</t>
  </si>
  <si>
    <t>C2</t>
  </si>
  <si>
    <t>V2</t>
  </si>
  <si>
    <t>DI Water</t>
  </si>
  <si>
    <t>V1</t>
  </si>
  <si>
    <t>C2 Actual</t>
  </si>
  <si>
    <t>g</t>
  </si>
  <si>
    <t>mL</t>
  </si>
  <si>
    <t>Concentration</t>
  </si>
  <si>
    <t>mmol/L</t>
  </si>
  <si>
    <t>Hamish Aldous</t>
  </si>
  <si>
    <t>Full Marks</t>
  </si>
  <si>
    <t>Out of 10</t>
  </si>
  <si>
    <t>Out of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</si>
</sst>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%"/>
    <numFmt numFmtId="166" formatCode="0.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/>
  </cellStyleXfs>
  <cellXfs count="42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64" fontId="0" fillId="0" borderId="0" xfId="0" applyNumberFormat="1"/>
    <xf numFmtId="165" fontId="0" fillId="0" borderId="0" xfId="1" applyNumberFormat="1" applyFont="1"/>
    <xf numFmtId="0" fontId="0" fillId="0" borderId="0" xfId="0" applyAlignment="1">
      <alignment wrapText="1"/>
    </xf>
    <xf numFmtId="166" fontId="0" fillId="0" borderId="0" xfId="0" applyNumberFormat="1" applyAlignment="1">
      <alignment horizontal="center"/>
    </xf>
    <xf numFmtId="166" fontId="0" fillId="0" borderId="1" xfId="0" applyNumberFormat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166" fontId="0" fillId="0" borderId="1" xfId="0" applyNumberFormat="1" applyBorder="1" applyAlignment="1">
      <alignment horizontal="center"/>
    </xf>
    <xf numFmtId="0" fontId="3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0" fillId="0" borderId="0" xfId="0" applyAlignment="1" applyProtection="1">
      <alignment vertical="center" wrapText="1"/>
      <protection locked="0"/>
    </xf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0" fontId="2" fillId="0" borderId="0" xfId="0" applyFont="1"/>
    <xf numFmtId="166" fontId="0" fillId="0" borderId="0" xfId="0" applyNumberFormat="1"/>
    <xf numFmtId="0" fontId="0" fillId="0" borderId="0" xfId="0" applyProtection="1">
      <protection locked="0"/>
    </xf>
    <xf numFmtId="164" fontId="0" fillId="0" borderId="0" xfId="0" applyNumberFormat="1" applyProtection="1">
      <protection locked="0"/>
    </xf>
    <xf numFmtId="1" fontId="1" fillId="0" borderId="0" xfId="1" applyNumberFormat="1"/>
    <xf numFmtId="165" fontId="1" fillId="0" borderId="0" xfId="1" applyNumberFormat="1"/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1" xfId="0" applyBorder="1"/>
    <xf numFmtId="0" fontId="0" fillId="0" borderId="0" xfId="0" applyBorder="1"/>
    <xf numFmtId="0" fontId="0" fillId="0" borderId="0" xfId="0" applyFill="1" applyBorder="1"/>
  </cellXfs>
  <cellStyles count="2">
    <cellStyle name="Normal" xfId="0" builtinId="0"/>
    <cellStyle name="Percent" xfId="1" builtinId="5"/>
  </cellStyles>
  <dxfs count="19"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165" formatCode="0.0%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family val="2"/>
        <scheme val="minor"/>
      </font>
      <numFmt numFmtId="165" formatCode="0.0%"/>
    </dxf>
    <dxf>
      <numFmt numFmtId="164" formatCode="0.000"/>
    </dxf>
    <dxf>
      <numFmt numFmtId="164" formatCode="0.000"/>
    </dxf>
    <dxf>
      <numFmt numFmtId="164" formatCode="0.000"/>
    </dxf>
    <dxf>
      <numFmt numFmtId="164" formatCode="0.00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164" formatCode="0.000"/>
      <protection locked="0" hidden="0"/>
    </dxf>
    <dxf>
      <protection locked="0" hidden="0"/>
    </dxf>
    <dxf>
      <numFmt numFmtId="164" formatCode="0.000"/>
    </dxf>
    <dxf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alignment horizontal="center" vertical="bottom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prstDash val="solid"/>
              <a:round/>
            </a:ln>
          </c:spPr>
          <c:marker>
            <c:symbol val="circle"/>
            <c:size val="6"/>
            <c:spPr>
              <a:solidFill>
                <a:schemeClr val="tx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trendline>
            <c:spPr>
              <a:ln w="12700" cap="rnd">
                <a:solidFill>
                  <a:schemeClr val="tx1"/>
                </a:solidFill>
                <a:prstDash val="solid"/>
              </a:ln>
            </c:spPr>
            <c:trendlineType val="linear"/>
            <c:intercept val="0"/>
            <c:dispRSqr val="1"/>
            <c:dispEq val="1"/>
            <c:trendlineLbl>
              <c:layout>
                <c:manualLayout>
                  <c:x val="-8.3534558180227467E-2"/>
                  <c:y val="-2.741417322834646E-2"/>
                </c:manualLayout>
              </c:layout>
              <c:numFmt formatCode="General" sourceLinked="0"/>
              <c:spPr>
                <a:noFill/>
                <a:ln>
                  <a:noFill/>
                  <a:prstDash val="solid"/>
                </a:ln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'Table 3'!$B$6:$B$11</c:f>
              <c:numCache>
                <c:formatCode>0.0</c:formatCode>
                <c:ptCount val="6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0.5</c:v>
                </c:pt>
                <c:pt idx="4">
                  <c:v>0.8</c:v>
                </c:pt>
                <c:pt idx="5">
                  <c:v>1</c:v>
                </c:pt>
              </c:numCache>
            </c:numRef>
          </c:xVal>
          <c:yVal>
            <c:numRef>
              <c:f>'Table 3'!$F$6:$F$11</c:f>
              <c:numCache>
                <c:formatCode>0.000</c:formatCode>
                <c:ptCount val="6"/>
                <c:pt idx="0">
                  <c:v>0</c:v>
                </c:pt>
                <c:pt idx="1">
                  <c:v>2.3999999999999994E-2</c:v>
                </c:pt>
                <c:pt idx="2">
                  <c:v>6.7499999999999991E-2</c:v>
                </c:pt>
                <c:pt idx="3">
                  <c:v>1.0405</c:v>
                </c:pt>
                <c:pt idx="4">
                  <c:v>1.6185</c:v>
                </c:pt>
                <c:pt idx="5">
                  <c:v>1.8175000000000001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DFD-4CAE-93ED-40B50E8F39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5755328"/>
        <c:axId val="215922800"/>
      </c:scatterChart>
      <c:valAx>
        <c:axId val="215755328"/>
        <c:scaling>
          <c:orientation val="minMax"/>
          <c:max val="1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 sz="1100" b="1">
                    <a:solidFill>
                      <a:sysClr val="windowText" lastClr="000000"/>
                    </a:solidFill>
                  </a:rPr>
                  <a:t>Glucose Concentration (mmol/L)</a:t>
                </a:r>
              </a:p>
            </c:rich>
          </c:tx>
          <c:layout>
            <c:manualLayout>
              <c:xMode val="edge"/>
              <c:yMode val="edge"/>
              <c:x val="0.3047626859142607"/>
              <c:y val="0.89615740740740724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0.0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5922800"/>
        <c:crosses val="autoZero"/>
        <c:crossBetween val="midCat"/>
      </c:valAx>
      <c:valAx>
        <c:axId val="215922800"/>
        <c:scaling>
          <c:orientation val="minMax"/>
          <c:max val="2.5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AU" sz="1100" b="1">
                    <a:solidFill>
                      <a:sysClr val="windowText" lastClr="000000"/>
                    </a:solidFill>
                  </a:rPr>
                  <a:t>Absorbance</a:t>
                </a:r>
                <a:r>
                  <a:rPr lang="en-AU" sz="1100" b="1" baseline="0">
                    <a:solidFill>
                      <a:sysClr val="windowText" lastClr="000000"/>
                    </a:solidFill>
                  </a:rPr>
                  <a:t> (Units) at 405 nm</a:t>
                </a:r>
                <a:endParaRPr lang="en-AU" sz="1100" b="1">
                  <a:solidFill>
                    <a:sysClr val="windowText" lastClr="000000"/>
                  </a:solidFill>
                </a:endParaRPr>
              </a:p>
            </c:rich>
          </c:tx>
          <c:layout>
            <c:manualLayout>
              <c:xMode val="edge"/>
              <c:yMode val="edge"/>
              <c:x val="1.388888888888889E-2"/>
              <c:y val="0.1772569325573434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0.000" sourceLinked="1"/>
        <c:majorTickMark val="out"/>
        <c:minorTickMark val="none"/>
        <c:tickLblPos val="nextTo"/>
        <c:spPr>
          <a:noFill/>
          <a:ln w="12700" cap="flat" cmpd="sng" algn="ctr">
            <a:solidFill>
              <a:schemeClr val="tx1"/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5755328"/>
        <c:crosses val="autoZero"/>
        <c:crossBetween val="midCat"/>
      </c:valAx>
    </c:plotArea>
    <c:plotVisOnly val="1"/>
    <c:dispBlanksAs val="span"/>
    <c:showDLblsOverMax val="1"/>
  </c:chart>
  <c:spPr>
    <a:solidFill>
      <a:schemeClr val="bg1"/>
    </a:solidFill>
    <a:ln w="9525" cap="flat" cmpd="sng" algn="ctr">
      <a:solidFill>
        <a:schemeClr val="tx1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607695</xdr:colOff>
      <xdr:row>3</xdr:row>
      <xdr:rowOff>45720</xdr:rowOff>
    </xdr:from>
    <xdr:to>
      <xdr:col>14</xdr:col>
      <xdr:colOff>302895</xdr:colOff>
      <xdr:row>15</xdr:row>
      <xdr:rowOff>83820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mp_table" displayName="temp_table" ref="Q1:R7" totalsRowShown="0" headerRowDxfId="18" headerRowBorderDxfId="17" tableBorderDxfId="16" totalsRowBorderDxfId="15">
  <autoFilter ref="Q1:R7" xr:uid="{00000000-0009-0000-0100-000001000000}"/>
  <tableColumns count="2">
    <tableColumn id="1" xr3:uid="{00000000-0010-0000-0000-000001000000}" name="Temp" dataDxfId="14"/>
    <tableColumn id="2" xr3:uid="{00000000-0010-0000-0000-000002000000}" name="Density" dataDxfId="1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1:M6" totalsRowShown="0" headerRowDxfId="12">
  <autoFilter ref="A1:M6" xr:uid="{00000000-0009-0000-0100-000002000000}"/>
  <tableColumns count="13">
    <tableColumn id="1" xr3:uid="{00000000-0010-0000-0100-000001000000}" name="Student Number" dataDxfId="11"/>
    <tableColumn id="2" xr3:uid="{00000000-0010-0000-0100-000002000000}" name="Target" dataDxfId="10"/>
    <tableColumn id="3" xr3:uid="{00000000-0010-0000-0100-000003000000}" name="Temp" dataDxfId="9"/>
    <tableColumn id="4" xr3:uid="{00000000-0010-0000-0100-000004000000}" name="Density">
      <calculatedColumnFormula>VLOOKUP(C2,temp_table[],2)</calculatedColumnFormula>
    </tableColumn>
    <tableColumn id="5" xr3:uid="{00000000-0010-0000-0100-000005000000}" name="Mass 1" dataDxfId="8"/>
    <tableColumn id="6" xr3:uid="{00000000-0010-0000-0100-000006000000}" name="Mass 2" dataDxfId="7"/>
    <tableColumn id="7" xr3:uid="{00000000-0010-0000-0100-000007000000}" name="Mass 3" dataDxfId="6"/>
    <tableColumn id="8" xr3:uid="{00000000-0010-0000-0100-000008000000}" name="V 1" dataDxfId="5">
      <calculatedColumnFormula>IF(ISNUMBER(E2),E2/$D2,NA())</calculatedColumnFormula>
    </tableColumn>
    <tableColumn id="9" xr3:uid="{00000000-0010-0000-0100-000009000000}" name="V 2" dataDxfId="4">
      <calculatedColumnFormula>IF(ISNUMBER(F2),F2/$D2,NA())</calculatedColumnFormula>
    </tableColumn>
    <tableColumn id="10" xr3:uid="{00000000-0010-0000-0100-00000A000000}" name="V 3" dataDxfId="3">
      <calculatedColumnFormula>IF(ISNUMBER(G2),G2/$D2,NA())</calculatedColumnFormula>
    </tableColumn>
    <tableColumn id="11" xr3:uid="{00000000-0010-0000-0100-00000B000000}" name="V mean" dataDxfId="2">
      <calculatedColumnFormula>_xlfn.AGGREGATE(1,6,H2:J2)</calculatedColumnFormula>
    </tableColumn>
    <tableColumn id="12" xr3:uid="{00000000-0010-0000-0100-00000C000000}" name="Rel Error" dataDxfId="1" dataCellStyle="Percent">
      <calculatedColumnFormula>ABS(B2-K2)/B2</calculatedColumnFormula>
    </tableColumn>
    <tableColumn id="13" xr3:uid="{00000000-0010-0000-0100-00000D000000}" name="Rel Precision" dataDxfId="0" dataCellStyle="Percent">
      <calculatedColumnFormula>ABS(MAX(H2:J2)-MIN(H2:J2))/B2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4"/>
  <sheetViews>
    <sheetView tabSelected="1" workbookViewId="0">
      <pane xSplit="2" ySplit="2" topLeftCell="E3" activePane="bottomRight" state="frozen"/>
      <selection pane="topRight" activeCell="C1" sqref="C1"/>
      <selection pane="bottomLeft" activeCell="A3" sqref="A3"/>
      <selection pane="bottomRight" activeCell="R4" sqref="R4"/>
    </sheetView>
  </sheetViews>
  <sheetFormatPr defaultRowHeight="15" x14ac:dyDescent="0.25"/>
  <cols>
    <col min="1" max="1" width="15.85546875" bestFit="1" customWidth="1"/>
    <col min="2" max="2" width="13.85546875" bestFit="1" customWidth="1"/>
    <col min="3" max="3" width="15.42578125" bestFit="1" customWidth="1"/>
    <col min="4" max="4" width="13.42578125" bestFit="1" customWidth="1"/>
    <col min="19" max="20" width="9.140625" style="32"/>
  </cols>
  <sheetData>
    <row r="1" spans="1:20" x14ac:dyDescent="0.25">
      <c r="E1" s="37" t="s">
        <v>3</v>
      </c>
      <c r="F1" s="38"/>
      <c r="G1" s="38"/>
      <c r="H1" s="38"/>
      <c r="I1" s="37" t="s">
        <v>4</v>
      </c>
      <c r="J1" s="38"/>
      <c r="K1" s="38"/>
      <c r="L1" s="38"/>
      <c r="M1" s="37" t="s">
        <v>5</v>
      </c>
      <c r="N1" s="38"/>
      <c r="O1" s="38"/>
      <c r="P1" s="37" t="s">
        <v>6</v>
      </c>
      <c r="Q1" s="38"/>
    </row>
    <row r="2" spans="1:20" x14ac:dyDescent="0.25">
      <c r="A2" t="s">
        <v>7</v>
      </c>
      <c r="B2" t="s">
        <v>8</v>
      </c>
      <c r="C2" s="39" t="s">
        <v>9</v>
      </c>
      <c r="D2" s="39" t="s">
        <v>10</v>
      </c>
      <c r="E2" s="39" t="s">
        <v>11</v>
      </c>
      <c r="F2" s="39" t="s">
        <v>12</v>
      </c>
      <c r="G2" s="39" t="s">
        <v>13</v>
      </c>
      <c r="H2" s="39" t="s">
        <v>14</v>
      </c>
      <c r="I2" s="39" t="s">
        <v>15</v>
      </c>
      <c r="J2" s="39" t="s">
        <v>16</v>
      </c>
      <c r="K2" s="39" t="s">
        <v>17</v>
      </c>
      <c r="L2" s="39" t="s">
        <v>18</v>
      </c>
      <c r="M2" s="39" t="s">
        <v>19</v>
      </c>
      <c r="N2" s="39" t="s">
        <v>20</v>
      </c>
      <c r="O2" s="39" t="s">
        <v>21</v>
      </c>
      <c r="P2" s="39" t="s">
        <v>22</v>
      </c>
      <c r="Q2" s="39" t="s">
        <v>23</v>
      </c>
      <c r="R2" t="s">
        <v>24</v>
      </c>
      <c r="S2" s="32" t="s">
        <v>81</v>
      </c>
      <c r="T2" s="32" t="s">
        <v>82</v>
      </c>
    </row>
    <row r="3" spans="1:20" x14ac:dyDescent="0.25">
      <c r="A3">
        <v>1234567</v>
      </c>
      <c r="B3" t="s">
        <v>80</v>
      </c>
      <c r="C3" s="40"/>
      <c r="D3" s="40"/>
      <c r="E3" s="40">
        <v>2.5</v>
      </c>
      <c r="F3" s="40">
        <v>0.5</v>
      </c>
      <c r="G3" s="40">
        <v>2</v>
      </c>
      <c r="H3" s="41">
        <v>1</v>
      </c>
      <c r="I3" s="41">
        <v>1.5</v>
      </c>
      <c r="J3" s="41">
        <v>1.5</v>
      </c>
      <c r="K3" s="41">
        <v>1.5</v>
      </c>
      <c r="L3" s="41">
        <v>1.5</v>
      </c>
      <c r="M3" s="41">
        <v>2</v>
      </c>
      <c r="N3" s="41">
        <v>2</v>
      </c>
      <c r="O3" s="41">
        <v>2</v>
      </c>
      <c r="P3" s="41">
        <v>1</v>
      </c>
      <c r="Q3" s="41">
        <v>1</v>
      </c>
      <c r="R3">
        <f>SUM(E3:Q3)</f>
        <v>20</v>
      </c>
      <c r="S3" s="32">
        <f>R3/2</f>
        <v>10</v>
      </c>
      <c r="T3" s="32">
        <f>R3/4</f>
        <v>5</v>
      </c>
    </row>
    <row r="4" spans="1:20" x14ac:dyDescent="0.25">
      <c r="A4">
        <v>1184207</v>
      </c>
      <c r="B4" t="s">
        <v>79</v>
      </c>
      <c r="E4">
        <v>2</v>
      </c>
      <c r="F4">
        <v>0.5</v>
      </c>
      <c r="G4">
        <v>1</v>
      </c>
      <c r="H4">
        <v>1</v>
      </c>
      <c r="I4">
        <v>1.5</v>
      </c>
      <c r="J4">
        <v>1.5</v>
      </c>
      <c r="K4">
        <v>1.5</v>
      </c>
      <c r="L4">
        <v>1.5</v>
      </c>
      <c r="M4">
        <v>2</v>
      </c>
      <c r="N4">
        <v>2</v>
      </c>
      <c r="O4">
        <v>2</v>
      </c>
      <c r="P4">
        <v>0.5</v>
      </c>
      <c r="Q4">
        <v>0.5</v>
      </c>
      <c r="R4">
        <f>SUM(E4:Q4)</f>
        <v>17.5</v>
      </c>
      <c r="S4" s="32">
        <f>R4/2</f>
        <v>8.75</v>
      </c>
      <c r="T4" s="32">
        <f>R4/4</f>
        <v>4.375</v>
      </c>
    </row>
  </sheetData>
  <mergeCells count="4">
    <mergeCell ref="I1:L1"/>
    <mergeCell ref="M1:O1"/>
    <mergeCell ref="P1:Q1"/>
    <mergeCell ref="E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7"/>
  <sheetViews>
    <sheetView workbookViewId="0">
      <selection activeCell="H6" sqref="H6"/>
    </sheetView>
  </sheetViews>
  <sheetFormatPr defaultRowHeight="15" x14ac:dyDescent="0.25"/>
  <cols>
    <col min="1" max="1" width="17.85546875" style="33" customWidth="1"/>
    <col min="2" max="2" width="12" style="34" customWidth="1"/>
    <col min="3" max="3" width="9.140625" style="33" customWidth="1"/>
    <col min="4" max="4" width="9.85546875" customWidth="1"/>
    <col min="5" max="7" width="9.140625" style="33" customWidth="1"/>
    <col min="8" max="10" width="9.140625" style="9" customWidth="1"/>
    <col min="11" max="11" width="9.85546875" style="9" customWidth="1"/>
    <col min="12" max="12" width="10.7109375" style="10" customWidth="1"/>
    <col min="13" max="13" width="14.5703125" style="10" customWidth="1"/>
    <col min="18" max="18" width="9.85546875" customWidth="1"/>
  </cols>
  <sheetData>
    <row r="1" spans="1:18" x14ac:dyDescent="0.25">
      <c r="A1" s="33" t="s">
        <v>7</v>
      </c>
      <c r="B1" s="34" t="s">
        <v>25</v>
      </c>
      <c r="C1" s="33" t="s">
        <v>26</v>
      </c>
      <c r="D1" t="s">
        <v>27</v>
      </c>
      <c r="E1" s="33" t="s">
        <v>28</v>
      </c>
      <c r="F1" s="33" t="s">
        <v>29</v>
      </c>
      <c r="G1" s="33" t="s">
        <v>30</v>
      </c>
      <c r="H1" s="9" t="s">
        <v>31</v>
      </c>
      <c r="I1" s="9" t="s">
        <v>32</v>
      </c>
      <c r="J1" s="9" t="s">
        <v>33</v>
      </c>
      <c r="K1" s="9" t="s">
        <v>34</v>
      </c>
      <c r="L1" s="10" t="s">
        <v>35</v>
      </c>
      <c r="M1" s="10" t="s">
        <v>36</v>
      </c>
      <c r="Q1" s="5" t="s">
        <v>26</v>
      </c>
      <c r="R1" s="6" t="s">
        <v>27</v>
      </c>
    </row>
    <row r="2" spans="1:18" x14ac:dyDescent="0.25">
      <c r="A2" s="33" t="s">
        <v>37</v>
      </c>
      <c r="B2" s="34">
        <v>1</v>
      </c>
      <c r="C2" s="33">
        <v>23</v>
      </c>
      <c r="D2">
        <f>VLOOKUP(C2,temp_table[],2)</f>
        <v>0.99756999999999996</v>
      </c>
      <c r="E2" s="33">
        <v>0.99199999999999999</v>
      </c>
      <c r="F2" s="33">
        <v>0.99299999999999999</v>
      </c>
      <c r="G2" s="33">
        <v>0.99299999999999999</v>
      </c>
      <c r="H2" s="9">
        <f t="shared" ref="H2:J6" si="0">IF(ISNUMBER(E2),E2/$D2,NA())</f>
        <v>0.99441643192958895</v>
      </c>
      <c r="I2" s="9">
        <f t="shared" si="0"/>
        <v>0.99541886784887279</v>
      </c>
      <c r="J2" s="9">
        <f t="shared" si="0"/>
        <v>0.99541886784887279</v>
      </c>
      <c r="K2" s="9">
        <f>_xlfn.AGGREGATE(1,6,H2:J2)</f>
        <v>0.99508472254244484</v>
      </c>
      <c r="L2" s="10">
        <f>ABS(B2-K2)/B2</f>
        <v>4.9152774575551561E-3</v>
      </c>
      <c r="M2" s="10">
        <f>ABS(MAX(H2:J2)-MIN(H2:J2))/B2</f>
        <v>1.0024359192838395E-3</v>
      </c>
      <c r="Q2" s="3">
        <v>20</v>
      </c>
      <c r="R2" s="4">
        <v>0.99822999999999995</v>
      </c>
    </row>
    <row r="3" spans="1:18" x14ac:dyDescent="0.25">
      <c r="A3" s="33" t="s">
        <v>38</v>
      </c>
      <c r="B3" s="34">
        <v>0.05</v>
      </c>
      <c r="C3" s="33">
        <v>23</v>
      </c>
      <c r="D3">
        <f>VLOOKUP(C3,temp_table[],2)</f>
        <v>0.99756999999999996</v>
      </c>
      <c r="E3" s="33">
        <v>5.0999999999999997E-2</v>
      </c>
      <c r="F3" s="33">
        <v>5.2999999999999999E-2</v>
      </c>
      <c r="G3" s="33">
        <v>5.2999999999999999E-2</v>
      </c>
      <c r="H3" s="9">
        <f t="shared" si="0"/>
        <v>5.1124231883476846E-2</v>
      </c>
      <c r="I3" s="9">
        <f t="shared" si="0"/>
        <v>5.3129103722044567E-2</v>
      </c>
      <c r="J3" s="9">
        <f t="shared" si="0"/>
        <v>5.3129103722044567E-2</v>
      </c>
      <c r="K3" s="9">
        <f>_xlfn.AGGREGATE(1,6,H3:J3)</f>
        <v>5.246081310918866E-2</v>
      </c>
      <c r="L3" s="10">
        <f>ABS(B3-K3)/B3</f>
        <v>4.9216262183773146E-2</v>
      </c>
      <c r="M3" s="10">
        <f>ABS(MAX(H3:J3)-MIN(H3:J3))/B3</f>
        <v>4.0097436771354411E-2</v>
      </c>
      <c r="Q3" s="3">
        <v>21</v>
      </c>
      <c r="R3" s="4">
        <v>0.99802000000000002</v>
      </c>
    </row>
    <row r="4" spans="1:18" x14ac:dyDescent="0.25">
      <c r="A4" s="33" t="s">
        <v>39</v>
      </c>
      <c r="B4" s="34">
        <v>750</v>
      </c>
      <c r="C4" s="33">
        <v>25</v>
      </c>
      <c r="D4">
        <f>VLOOKUP(C4,temp_table[],2)</f>
        <v>0.99707000000000001</v>
      </c>
      <c r="E4" s="33">
        <v>752</v>
      </c>
      <c r="H4" s="9">
        <f t="shared" si="0"/>
        <v>754.20983481601093</v>
      </c>
      <c r="I4" s="9" t="e">
        <f t="shared" si="0"/>
        <v>#N/A</v>
      </c>
      <c r="J4" s="9" t="e">
        <f t="shared" si="0"/>
        <v>#N/A</v>
      </c>
      <c r="K4" s="9">
        <f>_xlfn.AGGREGATE(1,6,H4:J4)</f>
        <v>754.20983481601093</v>
      </c>
      <c r="L4" s="10">
        <f>ABS(B4-K4)/B4</f>
        <v>5.6131130880145673E-3</v>
      </c>
      <c r="M4" s="10" t="e">
        <f>ABS(MAX(H4:J4)-MIN(H4:J4))/B4</f>
        <v>#N/A</v>
      </c>
      <c r="Q4" s="3">
        <v>22</v>
      </c>
      <c r="R4" s="4">
        <v>0.99780000000000002</v>
      </c>
    </row>
    <row r="5" spans="1:18" x14ac:dyDescent="0.25">
      <c r="A5" s="33">
        <v>1184207</v>
      </c>
      <c r="B5" s="34">
        <v>1</v>
      </c>
      <c r="C5" s="33">
        <v>22</v>
      </c>
      <c r="D5">
        <f>VLOOKUP(C5,temp_table[],2)</f>
        <v>0.99780000000000002</v>
      </c>
      <c r="E5" s="33">
        <v>1.0269999999999999</v>
      </c>
      <c r="F5" s="33">
        <v>1.0269999999999999</v>
      </c>
      <c r="G5" s="33">
        <v>1.0229999999999999</v>
      </c>
      <c r="H5" s="9">
        <f t="shared" si="0"/>
        <v>1.029264381639607</v>
      </c>
      <c r="I5" s="9">
        <f t="shared" si="0"/>
        <v>1.029264381639607</v>
      </c>
      <c r="J5" s="9">
        <f t="shared" si="0"/>
        <v>1.025255562236921</v>
      </c>
      <c r="K5" s="9">
        <f>_xlfn.AGGREGATE(1,6,H5:J5)</f>
        <v>1.0279281085053784</v>
      </c>
      <c r="L5" s="10">
        <f>ABS(B5-K5)/B5</f>
        <v>2.7928108505378413E-2</v>
      </c>
      <c r="M5" s="10">
        <f>ABS(MAX(H5:J5)-MIN(H5:J5))/B5</f>
        <v>4.008819402685937E-3</v>
      </c>
      <c r="Q5" s="3">
        <v>23</v>
      </c>
      <c r="R5" s="4">
        <v>0.99756999999999996</v>
      </c>
    </row>
    <row r="6" spans="1:18" x14ac:dyDescent="0.25">
      <c r="A6" s="33">
        <v>1184207</v>
      </c>
      <c r="B6" s="34">
        <v>0.05</v>
      </c>
      <c r="C6" s="33">
        <v>22</v>
      </c>
      <c r="D6">
        <f>VLOOKUP(C6,temp_table[],2)</f>
        <v>0.99780000000000002</v>
      </c>
      <c r="E6" s="33">
        <v>4.9000000000000002E-2</v>
      </c>
      <c r="F6" s="33">
        <v>5.0999999999999997E-2</v>
      </c>
      <c r="G6" s="33">
        <v>0.05</v>
      </c>
      <c r="H6" s="9">
        <f t="shared" si="0"/>
        <v>4.9108037682902388E-2</v>
      </c>
      <c r="I6" s="9">
        <f t="shared" si="0"/>
        <v>5.1112447384245335E-2</v>
      </c>
      <c r="J6" s="9">
        <f t="shared" si="0"/>
        <v>5.0110242533573865E-2</v>
      </c>
      <c r="K6" s="9">
        <f>_xlfn.AGGREGATE(1,6,H6:J6)</f>
        <v>5.0110242533573858E-2</v>
      </c>
      <c r="L6" s="10">
        <f>ABS(B6-K6)/B6</f>
        <v>2.2048506714771043E-3</v>
      </c>
      <c r="M6" s="10">
        <f>ABS(MAX(H6:J6)-MIN(H6:J6))/B6</f>
        <v>4.0088194026858953E-2</v>
      </c>
      <c r="Q6" s="3">
        <v>24</v>
      </c>
      <c r="R6" s="4">
        <v>0.99733000000000005</v>
      </c>
    </row>
    <row r="7" spans="1:18" x14ac:dyDescent="0.25">
      <c r="Q7" s="7">
        <v>25</v>
      </c>
      <c r="R7" s="8">
        <v>0.99707000000000001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7"/>
  <sheetViews>
    <sheetView topLeftCell="A3" workbookViewId="0">
      <selection activeCell="C6" sqref="C6"/>
    </sheetView>
  </sheetViews>
  <sheetFormatPr defaultRowHeight="15" x14ac:dyDescent="0.25"/>
  <cols>
    <col min="1" max="1" width="19.140625" style="12" customWidth="1"/>
    <col min="2" max="2" width="17.85546875" style="1" customWidth="1"/>
    <col min="3" max="3" width="15.28515625" style="1" customWidth="1"/>
  </cols>
  <sheetData>
    <row r="1" spans="1:3" s="11" customFormat="1" ht="30" customHeight="1" x14ac:dyDescent="0.25">
      <c r="A1" s="13" t="s">
        <v>0</v>
      </c>
      <c r="B1" s="14" t="s">
        <v>1</v>
      </c>
      <c r="C1" s="14" t="s">
        <v>2</v>
      </c>
    </row>
    <row r="2" spans="1:3" x14ac:dyDescent="0.25">
      <c r="A2" s="15">
        <v>0</v>
      </c>
      <c r="B2" s="2">
        <f t="shared" ref="B2:B7" si="0">A2*1000/10</f>
        <v>0</v>
      </c>
      <c r="C2" s="2">
        <f t="shared" ref="C2:C7" si="1">1000-B2</f>
        <v>1000</v>
      </c>
    </row>
    <row r="3" spans="1:3" x14ac:dyDescent="0.25">
      <c r="A3" s="15">
        <v>0.1</v>
      </c>
      <c r="B3" s="2">
        <f t="shared" si="0"/>
        <v>10</v>
      </c>
      <c r="C3" s="2">
        <f t="shared" si="1"/>
        <v>990</v>
      </c>
    </row>
    <row r="4" spans="1:3" x14ac:dyDescent="0.25">
      <c r="A4" s="15">
        <v>0.2</v>
      </c>
      <c r="B4" s="2">
        <f t="shared" si="0"/>
        <v>20</v>
      </c>
      <c r="C4" s="2">
        <f t="shared" si="1"/>
        <v>980</v>
      </c>
    </row>
    <row r="5" spans="1:3" x14ac:dyDescent="0.25">
      <c r="A5" s="15">
        <v>0.5</v>
      </c>
      <c r="B5" s="2">
        <f t="shared" si="0"/>
        <v>50</v>
      </c>
      <c r="C5" s="2">
        <f t="shared" si="1"/>
        <v>950</v>
      </c>
    </row>
    <row r="6" spans="1:3" x14ac:dyDescent="0.25">
      <c r="A6" s="15">
        <v>0.8</v>
      </c>
      <c r="B6" s="2">
        <f t="shared" si="0"/>
        <v>80</v>
      </c>
      <c r="C6" s="2">
        <f t="shared" si="1"/>
        <v>920</v>
      </c>
    </row>
    <row r="7" spans="1:3" x14ac:dyDescent="0.25">
      <c r="A7" s="15">
        <v>1</v>
      </c>
      <c r="B7" s="2">
        <f t="shared" si="0"/>
        <v>100</v>
      </c>
      <c r="C7" s="2">
        <f t="shared" si="1"/>
        <v>900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20"/>
  <sheetViews>
    <sheetView workbookViewId="0">
      <selection activeCell="C6" sqref="C6:D11"/>
    </sheetView>
  </sheetViews>
  <sheetFormatPr defaultRowHeight="15" x14ac:dyDescent="0.25"/>
  <cols>
    <col min="2" max="2" width="12.28515625" customWidth="1"/>
    <col min="3" max="5" width="12.7109375" customWidth="1"/>
    <col min="6" max="6" width="13.7109375" customWidth="1"/>
    <col min="8" max="8" width="16.28515625" customWidth="1"/>
  </cols>
  <sheetData>
    <row r="1" spans="1:14" ht="18.75" customHeight="1" x14ac:dyDescent="0.3">
      <c r="A1" s="16" t="s">
        <v>40</v>
      </c>
      <c r="B1" s="17"/>
      <c r="C1" s="17"/>
      <c r="D1" s="17"/>
      <c r="E1" s="17"/>
      <c r="F1" s="17"/>
    </row>
    <row r="3" spans="1:14" x14ac:dyDescent="0.25">
      <c r="A3" s="18" t="s">
        <v>41</v>
      </c>
      <c r="B3" s="19"/>
      <c r="C3" s="19"/>
      <c r="D3" s="19"/>
      <c r="E3" s="19"/>
      <c r="H3" s="18" t="s">
        <v>42</v>
      </c>
      <c r="I3" s="19"/>
      <c r="J3" s="19"/>
      <c r="K3" s="19"/>
      <c r="L3" s="19"/>
      <c r="M3" s="19"/>
      <c r="N3" s="19"/>
    </row>
    <row r="5" spans="1:14" s="23" customFormat="1" ht="57.6" customHeight="1" x14ac:dyDescent="0.25">
      <c r="A5" s="20" t="s">
        <v>43</v>
      </c>
      <c r="B5" s="21" t="s">
        <v>44</v>
      </c>
      <c r="C5" s="21" t="s">
        <v>45</v>
      </c>
      <c r="D5" s="21" t="s">
        <v>46</v>
      </c>
      <c r="E5" s="21" t="s">
        <v>47</v>
      </c>
      <c r="F5" s="21" t="s">
        <v>48</v>
      </c>
      <c r="G5" s="22" t="s">
        <v>49</v>
      </c>
    </row>
    <row r="6" spans="1:14" x14ac:dyDescent="0.25">
      <c r="A6" s="24" t="s">
        <v>50</v>
      </c>
      <c r="B6" s="25">
        <f>IF(G6="yes",0,NA())</f>
        <v>0</v>
      </c>
      <c r="C6" s="26">
        <v>8.3000000000000004E-2</v>
      </c>
      <c r="D6" s="26">
        <v>8.2000000000000003E-2</v>
      </c>
      <c r="E6" s="26">
        <f t="shared" ref="E6:E11" si="0">IF(ISNUMBER(C6),AVERAGE(C6:D6),"")</f>
        <v>8.2500000000000004E-2</v>
      </c>
      <c r="F6" s="26">
        <f t="shared" ref="F6:F11" si="1">IF(AND(ISNUMBER(E6),ISNUMBER($E$6),G6="yes"),E6-$E$6,NA())</f>
        <v>0</v>
      </c>
      <c r="G6" t="s">
        <v>51</v>
      </c>
    </row>
    <row r="7" spans="1:14" x14ac:dyDescent="0.25">
      <c r="A7" s="24" t="s">
        <v>52</v>
      </c>
      <c r="B7" s="25">
        <f>IF(G7="yes",0.1,NA())</f>
        <v>0.1</v>
      </c>
      <c r="C7" s="26">
        <v>9.0999999999999998E-2</v>
      </c>
      <c r="D7" s="26">
        <v>0.122</v>
      </c>
      <c r="E7" s="26">
        <f t="shared" si="0"/>
        <v>0.1065</v>
      </c>
      <c r="F7" s="26">
        <f t="shared" si="1"/>
        <v>2.3999999999999994E-2</v>
      </c>
      <c r="G7" t="s">
        <v>51</v>
      </c>
    </row>
    <row r="8" spans="1:14" x14ac:dyDescent="0.25">
      <c r="A8" s="24" t="s">
        <v>53</v>
      </c>
      <c r="B8" s="25">
        <f>IF(G8="yes",0.2,NA())</f>
        <v>0.2</v>
      </c>
      <c r="C8" s="26">
        <v>0.14899999999999999</v>
      </c>
      <c r="D8" s="26">
        <v>0.151</v>
      </c>
      <c r="E8" s="26">
        <f t="shared" si="0"/>
        <v>0.15</v>
      </c>
      <c r="F8" s="26">
        <f t="shared" si="1"/>
        <v>6.7499999999999991E-2</v>
      </c>
      <c r="G8" t="s">
        <v>51</v>
      </c>
    </row>
    <row r="9" spans="1:14" x14ac:dyDescent="0.25">
      <c r="A9" s="24" t="s">
        <v>54</v>
      </c>
      <c r="B9" s="25">
        <f>IF(G9="yes",0.5,NA())</f>
        <v>0.5</v>
      </c>
      <c r="C9" s="26">
        <v>1.127</v>
      </c>
      <c r="D9" s="26">
        <v>1.119</v>
      </c>
      <c r="E9" s="26">
        <f t="shared" si="0"/>
        <v>1.123</v>
      </c>
      <c r="F9" s="26">
        <f t="shared" si="1"/>
        <v>1.0405</v>
      </c>
      <c r="G9" t="s">
        <v>51</v>
      </c>
    </row>
    <row r="10" spans="1:14" x14ac:dyDescent="0.25">
      <c r="A10" s="24" t="s">
        <v>55</v>
      </c>
      <c r="B10" s="25">
        <f>IF(G10="yes",0.8,NA())</f>
        <v>0.8</v>
      </c>
      <c r="C10" s="26">
        <v>1.649</v>
      </c>
      <c r="D10" s="26">
        <v>1.7529999999999999</v>
      </c>
      <c r="E10" s="26">
        <f t="shared" si="0"/>
        <v>1.7010000000000001</v>
      </c>
      <c r="F10" s="26">
        <f t="shared" si="1"/>
        <v>1.6185</v>
      </c>
      <c r="G10" t="s">
        <v>51</v>
      </c>
    </row>
    <row r="11" spans="1:14" x14ac:dyDescent="0.25">
      <c r="A11" s="24" t="s">
        <v>56</v>
      </c>
      <c r="B11" s="25">
        <f>IF(G11="yes",1,NA())</f>
        <v>1</v>
      </c>
      <c r="C11" s="26">
        <v>1.7170000000000001</v>
      </c>
      <c r="D11" s="26">
        <v>2.0830000000000002</v>
      </c>
      <c r="E11" s="26">
        <f t="shared" si="0"/>
        <v>1.9000000000000001</v>
      </c>
      <c r="F11" s="26">
        <f t="shared" si="1"/>
        <v>1.8175000000000001</v>
      </c>
      <c r="G11" t="s">
        <v>51</v>
      </c>
    </row>
    <row r="12" spans="1:14" x14ac:dyDescent="0.25">
      <c r="A12" s="27"/>
      <c r="B12" s="27"/>
      <c r="C12" s="28"/>
      <c r="D12" s="28"/>
      <c r="E12" s="28"/>
      <c r="F12" s="28"/>
    </row>
    <row r="13" spans="1:14" x14ac:dyDescent="0.25">
      <c r="A13" s="29"/>
      <c r="B13" s="29"/>
      <c r="C13" s="30"/>
      <c r="D13" s="30"/>
      <c r="E13" s="30"/>
      <c r="F13" s="30"/>
    </row>
    <row r="14" spans="1:14" x14ac:dyDescent="0.25">
      <c r="A14" s="29"/>
      <c r="B14" s="29"/>
      <c r="C14" s="30"/>
      <c r="D14" s="30"/>
      <c r="E14" s="30"/>
      <c r="F14" s="30"/>
    </row>
    <row r="15" spans="1:14" x14ac:dyDescent="0.25">
      <c r="A15" s="29"/>
      <c r="B15" s="29"/>
      <c r="C15" s="30"/>
      <c r="D15" s="30"/>
      <c r="E15" s="30"/>
      <c r="F15" s="30"/>
    </row>
    <row r="16" spans="1:14" x14ac:dyDescent="0.25">
      <c r="A16" s="29"/>
      <c r="B16" s="29"/>
      <c r="C16" s="30"/>
      <c r="D16" s="30"/>
      <c r="E16" s="30"/>
      <c r="F16" s="30"/>
    </row>
    <row r="17" spans="8:10" x14ac:dyDescent="0.25">
      <c r="H17" s="31" t="s">
        <v>57</v>
      </c>
    </row>
    <row r="18" spans="8:10" x14ac:dyDescent="0.25">
      <c r="H18" t="s">
        <v>58</v>
      </c>
      <c r="I18">
        <f t="array" ref="I18:J18">LINEST(F6:F11,B6:B11,FALSE)</f>
        <v>1.8806443298969071</v>
      </c>
      <c r="J18">
        <v>0</v>
      </c>
    </row>
    <row r="19" spans="8:10" x14ac:dyDescent="0.25">
      <c r="H19" t="s">
        <v>59</v>
      </c>
      <c r="I19">
        <v>0.752</v>
      </c>
    </row>
    <row r="20" spans="8:10" x14ac:dyDescent="0.25">
      <c r="H20" t="s">
        <v>60</v>
      </c>
      <c r="I20" s="32">
        <f>5*I19/I18</f>
        <v>1.9993147775082569</v>
      </c>
      <c r="J20" t="s">
        <v>61</v>
      </c>
    </row>
  </sheetData>
  <pageMargins left="0.7" right="0.7" top="0.75" bottom="0.75" header="0.3" footer="0.3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2"/>
  <sheetViews>
    <sheetView workbookViewId="0">
      <selection activeCell="B6" sqref="B6"/>
    </sheetView>
  </sheetViews>
  <sheetFormatPr defaultRowHeight="15" x14ac:dyDescent="0.25"/>
  <cols>
    <col min="1" max="1" width="13.7109375" bestFit="1" customWidth="1"/>
    <col min="2" max="2" width="12" bestFit="1" customWidth="1"/>
  </cols>
  <sheetData>
    <row r="1" spans="1:17" x14ac:dyDescent="0.25">
      <c r="A1" t="s">
        <v>39</v>
      </c>
    </row>
    <row r="2" spans="1:17" x14ac:dyDescent="0.25">
      <c r="A2" t="s">
        <v>26</v>
      </c>
      <c r="B2">
        <v>25</v>
      </c>
    </row>
    <row r="3" spans="1:17" x14ac:dyDescent="0.25">
      <c r="A3" t="s">
        <v>27</v>
      </c>
      <c r="B3">
        <f>VLOOKUP(B2,temp_table[],2)</f>
        <v>0.99707000000000001</v>
      </c>
    </row>
    <row r="4" spans="1:17" x14ac:dyDescent="0.25">
      <c r="A4" t="s">
        <v>62</v>
      </c>
      <c r="B4">
        <v>752</v>
      </c>
    </row>
    <row r="5" spans="1:17" x14ac:dyDescent="0.25">
      <c r="A5" t="s">
        <v>63</v>
      </c>
      <c r="B5" s="35">
        <f>B4/B3</f>
        <v>754.20983481601093</v>
      </c>
    </row>
    <row r="6" spans="1:17" x14ac:dyDescent="0.25">
      <c r="A6" t="s">
        <v>64</v>
      </c>
      <c r="B6" s="36">
        <f>ABS(B5-750)/750</f>
        <v>5.6131130880145673E-3</v>
      </c>
    </row>
    <row r="8" spans="1:17" x14ac:dyDescent="0.25">
      <c r="A8" s="31" t="s">
        <v>65</v>
      </c>
    </row>
    <row r="9" spans="1:17" x14ac:dyDescent="0.25">
      <c r="A9" t="s">
        <v>66</v>
      </c>
      <c r="B9">
        <v>342.3</v>
      </c>
      <c r="C9" t="s">
        <v>67</v>
      </c>
      <c r="F9" t="s">
        <v>68</v>
      </c>
      <c r="G9" t="s">
        <v>69</v>
      </c>
      <c r="H9" t="s">
        <v>70</v>
      </c>
      <c r="I9" t="s">
        <v>71</v>
      </c>
      <c r="J9" t="s">
        <v>72</v>
      </c>
      <c r="M9" t="s">
        <v>68</v>
      </c>
      <c r="N9" t="s">
        <v>73</v>
      </c>
      <c r="O9" t="s">
        <v>74</v>
      </c>
      <c r="P9" t="s">
        <v>71</v>
      </c>
      <c r="Q9" t="s">
        <v>72</v>
      </c>
    </row>
    <row r="10" spans="1:17" x14ac:dyDescent="0.25">
      <c r="A10" t="s">
        <v>62</v>
      </c>
      <c r="B10">
        <v>1.712</v>
      </c>
      <c r="C10" t="s">
        <v>75</v>
      </c>
      <c r="E10" t="s">
        <v>52</v>
      </c>
      <c r="F10">
        <v>50</v>
      </c>
      <c r="G10">
        <f>H10*I10/F10</f>
        <v>16</v>
      </c>
      <c r="H10">
        <v>0.8</v>
      </c>
      <c r="I10">
        <v>1000</v>
      </c>
      <c r="J10">
        <f>I10-G10</f>
        <v>984</v>
      </c>
      <c r="L10" t="s">
        <v>52</v>
      </c>
      <c r="M10">
        <v>50</v>
      </c>
      <c r="N10">
        <v>32</v>
      </c>
      <c r="O10">
        <f>M10*N10/P10</f>
        <v>1.6</v>
      </c>
      <c r="P10">
        <v>1000</v>
      </c>
      <c r="Q10">
        <f>P10-N10</f>
        <v>968</v>
      </c>
    </row>
    <row r="11" spans="1:17" x14ac:dyDescent="0.25">
      <c r="A11" t="s">
        <v>63</v>
      </c>
      <c r="B11">
        <v>100</v>
      </c>
      <c r="C11" t="s">
        <v>76</v>
      </c>
      <c r="E11" t="s">
        <v>52</v>
      </c>
      <c r="F11">
        <v>50</v>
      </c>
      <c r="G11">
        <f>H11*I11/F11</f>
        <v>4</v>
      </c>
      <c r="H11">
        <v>0.2</v>
      </c>
      <c r="I11">
        <v>1000</v>
      </c>
      <c r="J11">
        <f>I11-G11</f>
        <v>996</v>
      </c>
      <c r="L11" t="s">
        <v>52</v>
      </c>
      <c r="M11">
        <v>50</v>
      </c>
      <c r="N11">
        <v>8</v>
      </c>
      <c r="O11">
        <f>M11*N11/P11</f>
        <v>0.4</v>
      </c>
      <c r="P11">
        <v>1000</v>
      </c>
      <c r="Q11">
        <f>P11-N11</f>
        <v>992</v>
      </c>
    </row>
    <row r="12" spans="1:17" x14ac:dyDescent="0.25">
      <c r="A12" t="s">
        <v>77</v>
      </c>
      <c r="B12">
        <f>1000*B10/B9/(B11/1000)</f>
        <v>50.014607069821793</v>
      </c>
      <c r="C12" t="s">
        <v>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Student</vt:lpstr>
      <vt:lpstr>Table 1</vt:lpstr>
      <vt:lpstr>Table 2</vt:lpstr>
      <vt:lpstr>Table 3</vt:lpstr>
      <vt:lpstr>Lab Exercises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Doug Chesher</dc:creator>
  <cp:lastModifiedBy>Doug Chesher</cp:lastModifiedBy>
  <dcterms:created xsi:type="dcterms:W3CDTF">2015-06-05T18:17:20Z</dcterms:created>
  <dcterms:modified xsi:type="dcterms:W3CDTF">2026-08-12T07:18:28Z</dcterms:modified>
</cp:coreProperties>
</file>