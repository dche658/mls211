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ba37898bfb7e549/Documents/University/UniSC/2026-MLS211/mls211/Task 1b/"/>
    </mc:Choice>
  </mc:AlternateContent>
  <xr:revisionPtr revIDLastSave="30" documentId="8_{D5177D3D-6F56-4623-9058-2533E997A80C}" xr6:coauthVersionLast="47" xr6:coauthVersionMax="47" xr10:uidLastSave="{CD8EB202-B3BC-4930-85C1-BDF0A1382665}"/>
  <bookViews>
    <workbookView xWindow="13215" yWindow="1500" windowWidth="20520" windowHeight="17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8" i="1" l="1"/>
  <c r="E7" i="1"/>
  <c r="E8" i="1"/>
  <c r="E9" i="1"/>
  <c r="E10" i="1"/>
  <c r="E11" i="1"/>
  <c r="E13" i="1"/>
  <c r="E14" i="1"/>
  <c r="E15" i="1"/>
  <c r="E16" i="1"/>
  <c r="E17" i="1"/>
  <c r="E6" i="1"/>
  <c r="F18" i="1" s="1"/>
  <c r="F14" i="1" l="1"/>
  <c r="D30" i="1" s="1"/>
  <c r="F11" i="1"/>
  <c r="F15" i="1"/>
  <c r="D31" i="1" s="1"/>
  <c r="F6" i="1"/>
  <c r="F9" i="1"/>
  <c r="F17" i="1"/>
  <c r="D33" i="1" s="1"/>
  <c r="F13" i="1"/>
  <c r="D29" i="1" s="1"/>
  <c r="F7" i="1"/>
  <c r="F8" i="1"/>
  <c r="F16" i="1"/>
  <c r="D32" i="1" s="1"/>
  <c r="F10" i="1"/>
  <c r="D34" i="1"/>
</calcChain>
</file>

<file path=xl/sharedStrings.xml><?xml version="1.0" encoding="utf-8"?>
<sst xmlns="http://schemas.openxmlformats.org/spreadsheetml/2006/main" count="51" uniqueCount="36">
  <si>
    <t>Practical 2:  Blood Plasma Glucose Calculator</t>
  </si>
  <si>
    <t>Enter your absorbance values into the table below.</t>
  </si>
  <si>
    <t>Tube</t>
  </si>
  <si>
    <t>Glucose conc. (mmol/L)</t>
  </si>
  <si>
    <t>B</t>
  </si>
  <si>
    <t>S1</t>
  </si>
  <si>
    <t>S2</t>
  </si>
  <si>
    <t>S3</t>
  </si>
  <si>
    <t>S4</t>
  </si>
  <si>
    <t>S5</t>
  </si>
  <si>
    <t>P1-F</t>
  </si>
  <si>
    <t>P1-120</t>
  </si>
  <si>
    <t>P2-F</t>
  </si>
  <si>
    <t>P2-120</t>
  </si>
  <si>
    <t>Duplicate Absorbance 1 (Units)</t>
  </si>
  <si>
    <t>Mean Absorbance (Units)</t>
  </si>
  <si>
    <t>Duplicate Absorbance 2 (Units)</t>
  </si>
  <si>
    <t>-</t>
  </si>
  <si>
    <t>Mean Blank Adjust Absorbance (Units)</t>
  </si>
  <si>
    <t>Standard curve for glucose.</t>
  </si>
  <si>
    <t>Enter your gradient here:</t>
  </si>
  <si>
    <t>y =</t>
  </si>
  <si>
    <t>x</t>
  </si>
  <si>
    <t>Gradient</t>
  </si>
  <si>
    <t xml:space="preserve">Table showing final concentrations for patient and control samples </t>
  </si>
  <si>
    <t>Sample</t>
  </si>
  <si>
    <t>Concentration</t>
  </si>
  <si>
    <t>(mmol/L)</t>
  </si>
  <si>
    <t>Reference or Expected</t>
  </si>
  <si>
    <t>Values (mmol/L)</t>
  </si>
  <si>
    <t>Enter OGTT reference value from MLS211 Course Manual</t>
  </si>
  <si>
    <t>For the trendline, select intercept at 0, equation for the line, and r2 value</t>
  </si>
  <si>
    <t>P1-60</t>
  </si>
  <si>
    <t>QC</t>
  </si>
  <si>
    <t>Provide expected values for plasma quality control</t>
  </si>
  <si>
    <t>4 - 6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</si>
</sst>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 applyProtection="1">
      <alignment vertical="center" wrapText="1"/>
      <protection locked="0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0" fontId="1" fillId="3" borderId="0" xfId="0" applyFont="1" applyFill="1"/>
    <xf numFmtId="0" fontId="0" fillId="0" borderId="0" xfId="0" applyAlignment="1">
      <alignment horizontal="center"/>
    </xf>
    <xf numFmtId="0" fontId="3" fillId="0" borderId="0" xfId="0" applyFont="1"/>
    <xf numFmtId="0" fontId="1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16" fontId="0" fillId="0" borderId="1" xfId="0" quotePrefix="1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6.2604111986001756E-2"/>
                  <c:y val="-1.2173504627711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Sheet1!$B$6:$B$11</c:f>
              <c:numCache>
                <c:formatCode>0.00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Sheet1!$F$6:$F$11</c:f>
              <c:numCache>
                <c:formatCode>0.000</c:formatCode>
                <c:ptCount val="6"/>
                <c:pt idx="0">
                  <c:v>0</c:v>
                </c:pt>
                <c:pt idx="1">
                  <c:v>0.20549999999999999</c:v>
                </c:pt>
                <c:pt idx="2">
                  <c:v>0.39800000000000002</c:v>
                </c:pt>
                <c:pt idx="3">
                  <c:v>0.98399999999999999</c:v>
                </c:pt>
                <c:pt idx="4">
                  <c:v>1.6085</c:v>
                </c:pt>
                <c:pt idx="5">
                  <c:v>2.0300000000000002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85-4792-B5B0-A832DDED7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755328"/>
        <c:axId val="215922800"/>
      </c:scatterChart>
      <c:valAx>
        <c:axId val="215755328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100" b="1">
                    <a:solidFill>
                      <a:sysClr val="windowText" lastClr="000000"/>
                    </a:solidFill>
                  </a:rPr>
                  <a:t>Glucose Concentration (mmol/L)</a:t>
                </a:r>
              </a:p>
            </c:rich>
          </c:tx>
          <c:layout>
            <c:manualLayout>
              <c:xMode val="edge"/>
              <c:yMode val="edge"/>
              <c:x val="0.3047626859142607"/>
              <c:y val="0.896157407407407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22800"/>
        <c:crosses val="autoZero"/>
        <c:crossBetween val="midCat"/>
      </c:valAx>
      <c:valAx>
        <c:axId val="215922800"/>
        <c:scaling>
          <c:orientation val="minMax"/>
          <c:max val="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100" b="1">
                    <a:solidFill>
                      <a:sysClr val="windowText" lastClr="000000"/>
                    </a:solidFill>
                  </a:rPr>
                  <a:t>Absorbance</a:t>
                </a:r>
                <a:r>
                  <a:rPr lang="en-AU" sz="1100" b="1" baseline="0">
                    <a:solidFill>
                      <a:sysClr val="windowText" lastClr="000000"/>
                    </a:solidFill>
                  </a:rPr>
                  <a:t> (Units) at 405 nm</a:t>
                </a:r>
                <a:endParaRPr lang="en-AU" sz="11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177256932557343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5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3</xdr:row>
      <xdr:rowOff>160020</xdr:rowOff>
    </xdr:from>
    <xdr:to>
      <xdr:col>14</xdr:col>
      <xdr:colOff>312420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E35" sqref="E35"/>
    </sheetView>
  </sheetViews>
  <sheetFormatPr defaultRowHeight="15" x14ac:dyDescent="0.25"/>
  <cols>
    <col min="2" max="2" width="12.28515625" customWidth="1"/>
    <col min="3" max="5" width="12.7109375" customWidth="1"/>
    <col min="6" max="6" width="13.7109375" customWidth="1"/>
  </cols>
  <sheetData>
    <row r="1" spans="1:14" ht="18.75" x14ac:dyDescent="0.3">
      <c r="A1" s="2" t="s">
        <v>0</v>
      </c>
      <c r="B1" s="3"/>
      <c r="C1" s="3"/>
      <c r="D1" s="3"/>
      <c r="E1" s="3"/>
      <c r="F1" s="3"/>
    </row>
    <row r="3" spans="1:14" x14ac:dyDescent="0.25">
      <c r="A3" s="15" t="s">
        <v>1</v>
      </c>
      <c r="B3" s="4"/>
      <c r="C3" s="4"/>
      <c r="D3" s="4"/>
      <c r="E3" s="4"/>
      <c r="H3" s="15" t="s">
        <v>31</v>
      </c>
      <c r="I3" s="4"/>
      <c r="J3" s="4"/>
      <c r="K3" s="4"/>
      <c r="L3" s="4"/>
      <c r="M3" s="4"/>
      <c r="N3" s="4"/>
    </row>
    <row r="5" spans="1:14" s="5" customFormat="1" ht="57.6" customHeight="1" x14ac:dyDescent="0.25">
      <c r="A5" s="7" t="s">
        <v>2</v>
      </c>
      <c r="B5" s="8" t="s">
        <v>3</v>
      </c>
      <c r="C5" s="8" t="s">
        <v>14</v>
      </c>
      <c r="D5" s="8" t="s">
        <v>16</v>
      </c>
      <c r="E5" s="8" t="s">
        <v>15</v>
      </c>
      <c r="F5" s="8" t="s">
        <v>18</v>
      </c>
      <c r="G5" s="9"/>
    </row>
    <row r="6" spans="1:14" x14ac:dyDescent="0.25">
      <c r="A6" s="6" t="s">
        <v>4</v>
      </c>
      <c r="B6" s="12">
        <v>0</v>
      </c>
      <c r="C6" s="10">
        <v>8.5999999999999993E-2</v>
      </c>
      <c r="D6" s="10">
        <v>9.0999999999999998E-2</v>
      </c>
      <c r="E6" s="10">
        <f>(C6+D6)/2</f>
        <v>8.8499999999999995E-2</v>
      </c>
      <c r="F6" s="10">
        <f>E6-$E$6</f>
        <v>0</v>
      </c>
    </row>
    <row r="7" spans="1:14" x14ac:dyDescent="0.25">
      <c r="A7" s="6" t="s">
        <v>5</v>
      </c>
      <c r="B7" s="12">
        <v>0.1</v>
      </c>
      <c r="C7" s="10">
        <v>0.28599999999999998</v>
      </c>
      <c r="D7" s="10">
        <v>0.30199999999999999</v>
      </c>
      <c r="E7" s="10">
        <f t="shared" ref="E7:E18" si="0">(C7+D7)/2</f>
        <v>0.29399999999999998</v>
      </c>
      <c r="F7" s="10">
        <f>E7-$E$6</f>
        <v>0.20549999999999999</v>
      </c>
    </row>
    <row r="8" spans="1:14" x14ac:dyDescent="0.25">
      <c r="A8" s="6" t="s">
        <v>6</v>
      </c>
      <c r="B8" s="12">
        <v>0.2</v>
      </c>
      <c r="C8" s="10">
        <v>0.48699999999999999</v>
      </c>
      <c r="D8" s="10">
        <v>0.48599999999999999</v>
      </c>
      <c r="E8" s="10">
        <f t="shared" si="0"/>
        <v>0.48649999999999999</v>
      </c>
      <c r="F8" s="10">
        <f t="shared" ref="F8:F18" si="1">E8-$E$6</f>
        <v>0.39800000000000002</v>
      </c>
    </row>
    <row r="9" spans="1:14" x14ac:dyDescent="0.25">
      <c r="A9" s="6" t="s">
        <v>7</v>
      </c>
      <c r="B9" s="12">
        <v>0.5</v>
      </c>
      <c r="C9" s="10">
        <v>1.0620000000000001</v>
      </c>
      <c r="D9" s="10">
        <v>1.083</v>
      </c>
      <c r="E9" s="10">
        <f t="shared" si="0"/>
        <v>1.0725</v>
      </c>
      <c r="F9" s="10">
        <f t="shared" si="1"/>
        <v>0.98399999999999999</v>
      </c>
    </row>
    <row r="10" spans="1:14" x14ac:dyDescent="0.25">
      <c r="A10" s="6" t="s">
        <v>8</v>
      </c>
      <c r="B10" s="12">
        <v>0.8</v>
      </c>
      <c r="C10" s="10">
        <v>1.69</v>
      </c>
      <c r="D10" s="10">
        <v>1.704</v>
      </c>
      <c r="E10" s="10">
        <f t="shared" si="0"/>
        <v>1.6970000000000001</v>
      </c>
      <c r="F10" s="10">
        <f t="shared" si="1"/>
        <v>1.6085</v>
      </c>
    </row>
    <row r="11" spans="1:14" x14ac:dyDescent="0.25">
      <c r="A11" s="6" t="s">
        <v>9</v>
      </c>
      <c r="B11" s="12">
        <v>1</v>
      </c>
      <c r="C11" s="10">
        <v>2.0910000000000002</v>
      </c>
      <c r="D11" s="10">
        <v>2.1459999999999999</v>
      </c>
      <c r="E11" s="10">
        <f t="shared" si="0"/>
        <v>2.1185</v>
      </c>
      <c r="F11" s="10">
        <f t="shared" si="1"/>
        <v>2.0300000000000002</v>
      </c>
    </row>
    <row r="12" spans="1:14" x14ac:dyDescent="0.25">
      <c r="A12" s="13"/>
      <c r="B12" s="13"/>
      <c r="C12" s="14"/>
      <c r="D12" s="14"/>
      <c r="E12" s="14"/>
      <c r="F12" s="14"/>
    </row>
    <row r="13" spans="1:14" x14ac:dyDescent="0.25">
      <c r="A13" s="6" t="s">
        <v>10</v>
      </c>
      <c r="B13" s="6" t="s">
        <v>17</v>
      </c>
      <c r="C13" s="10">
        <v>0.80500000000000005</v>
      </c>
      <c r="D13" s="10">
        <v>0.82</v>
      </c>
      <c r="E13" s="10">
        <f t="shared" si="0"/>
        <v>0.8125</v>
      </c>
      <c r="F13" s="10">
        <f t="shared" si="1"/>
        <v>0.72399999999999998</v>
      </c>
    </row>
    <row r="14" spans="1:14" x14ac:dyDescent="0.25">
      <c r="A14" s="6" t="s">
        <v>32</v>
      </c>
      <c r="B14" s="6" t="s">
        <v>17</v>
      </c>
      <c r="C14" s="10">
        <v>1.776</v>
      </c>
      <c r="D14" s="10">
        <v>1.8120000000000001</v>
      </c>
      <c r="E14" s="10">
        <f t="shared" si="0"/>
        <v>1.794</v>
      </c>
      <c r="F14" s="10">
        <f t="shared" si="1"/>
        <v>1.7055</v>
      </c>
    </row>
    <row r="15" spans="1:14" x14ac:dyDescent="0.25">
      <c r="A15" s="6" t="s">
        <v>11</v>
      </c>
      <c r="B15" s="6" t="s">
        <v>17</v>
      </c>
      <c r="C15" s="10">
        <v>1.224</v>
      </c>
      <c r="D15" s="10">
        <v>1.2969999999999999</v>
      </c>
      <c r="E15" s="10">
        <f t="shared" si="0"/>
        <v>1.2605</v>
      </c>
      <c r="F15" s="10">
        <f t="shared" si="1"/>
        <v>1.1719999999999999</v>
      </c>
    </row>
    <row r="16" spans="1:14" x14ac:dyDescent="0.25">
      <c r="A16" s="6" t="s">
        <v>12</v>
      </c>
      <c r="B16" s="6" t="s">
        <v>17</v>
      </c>
      <c r="C16" s="10">
        <v>1.0189999999999999</v>
      </c>
      <c r="D16" s="10">
        <v>1.036</v>
      </c>
      <c r="E16" s="10">
        <f t="shared" si="0"/>
        <v>1.0274999999999999</v>
      </c>
      <c r="F16" s="10">
        <f t="shared" si="1"/>
        <v>0.93899999999999983</v>
      </c>
    </row>
    <row r="17" spans="1:8" x14ac:dyDescent="0.25">
      <c r="A17" s="6" t="s">
        <v>13</v>
      </c>
      <c r="B17" s="6" t="s">
        <v>17</v>
      </c>
      <c r="C17" s="10">
        <v>1.5389999999999999</v>
      </c>
      <c r="D17" s="10">
        <v>1.5269999999999999</v>
      </c>
      <c r="E17" s="10">
        <f t="shared" si="0"/>
        <v>1.5329999999999999</v>
      </c>
      <c r="F17" s="10">
        <f t="shared" si="1"/>
        <v>1.4444999999999999</v>
      </c>
    </row>
    <row r="18" spans="1:8" x14ac:dyDescent="0.25">
      <c r="A18" s="6" t="s">
        <v>33</v>
      </c>
      <c r="B18" s="6" t="s">
        <v>17</v>
      </c>
      <c r="C18" s="10">
        <v>0.83599999999999997</v>
      </c>
      <c r="D18" s="10">
        <v>0.82299999999999995</v>
      </c>
      <c r="E18" s="10">
        <f t="shared" si="0"/>
        <v>0.8294999999999999</v>
      </c>
      <c r="F18" s="10">
        <f t="shared" si="1"/>
        <v>0.74099999999999988</v>
      </c>
    </row>
    <row r="19" spans="1:8" x14ac:dyDescent="0.25">
      <c r="A19" s="22"/>
      <c r="B19" s="22"/>
      <c r="C19" s="23"/>
      <c r="D19" s="23"/>
      <c r="E19" s="23"/>
      <c r="F19" s="23"/>
    </row>
    <row r="20" spans="1:8" x14ac:dyDescent="0.25">
      <c r="H20" s="1" t="s">
        <v>19</v>
      </c>
    </row>
    <row r="22" spans="1:8" ht="18.75" x14ac:dyDescent="0.3">
      <c r="C22" s="26" t="s">
        <v>20</v>
      </c>
      <c r="D22" s="26"/>
      <c r="E22" s="21" t="s">
        <v>21</v>
      </c>
      <c r="F22" s="19">
        <v>2.0148999999999999</v>
      </c>
      <c r="G22" s="17" t="s">
        <v>22</v>
      </c>
    </row>
    <row r="23" spans="1:8" x14ac:dyDescent="0.25">
      <c r="F23" s="16" t="s">
        <v>23</v>
      </c>
    </row>
    <row r="25" spans="1:8" x14ac:dyDescent="0.25">
      <c r="C25" s="1" t="s">
        <v>24</v>
      </c>
    </row>
    <row r="27" spans="1:8" x14ac:dyDescent="0.25">
      <c r="C27" s="18" t="s">
        <v>25</v>
      </c>
      <c r="D27" s="18" t="s">
        <v>26</v>
      </c>
      <c r="E27" s="25" t="s">
        <v>28</v>
      </c>
      <c r="F27" s="25"/>
    </row>
    <row r="28" spans="1:8" x14ac:dyDescent="0.25">
      <c r="C28" s="18"/>
      <c r="D28" s="18" t="s">
        <v>27</v>
      </c>
      <c r="E28" s="25" t="s">
        <v>29</v>
      </c>
      <c r="F28" s="27"/>
    </row>
    <row r="29" spans="1:8" x14ac:dyDescent="0.25">
      <c r="C29" s="6" t="s">
        <v>10</v>
      </c>
      <c r="D29" s="20">
        <f>F13/$F$22*16.01</f>
        <v>5.7527619236686691</v>
      </c>
      <c r="E29" s="24"/>
      <c r="F29" s="24"/>
      <c r="G29" t="s">
        <v>30</v>
      </c>
    </row>
    <row r="30" spans="1:8" x14ac:dyDescent="0.25">
      <c r="C30" s="6" t="s">
        <v>32</v>
      </c>
      <c r="D30" s="20">
        <f>F14/$F$22*16.01</f>
        <v>13.551568316045463</v>
      </c>
      <c r="E30" s="24"/>
      <c r="F30" s="24"/>
      <c r="G30" t="s">
        <v>30</v>
      </c>
    </row>
    <row r="31" spans="1:8" x14ac:dyDescent="0.25">
      <c r="C31" s="6" t="s">
        <v>11</v>
      </c>
      <c r="D31" s="20">
        <f>F15/$F$22*16.01</f>
        <v>9.3124820090327063</v>
      </c>
      <c r="E31" s="24"/>
      <c r="F31" s="24"/>
      <c r="G31" t="s">
        <v>30</v>
      </c>
    </row>
    <row r="32" spans="1:8" x14ac:dyDescent="0.25">
      <c r="C32" s="6" t="s">
        <v>12</v>
      </c>
      <c r="D32" s="20">
        <f>F16/$F$22*16.01</f>
        <v>7.4611097324929272</v>
      </c>
      <c r="E32" s="24"/>
      <c r="F32" s="24"/>
      <c r="G32" t="s">
        <v>30</v>
      </c>
    </row>
    <row r="33" spans="3:7" x14ac:dyDescent="0.25">
      <c r="C33" s="6" t="s">
        <v>13</v>
      </c>
      <c r="D33" s="20">
        <f>F17/$F$22*16.01</f>
        <v>11.477713534170432</v>
      </c>
      <c r="E33" s="24"/>
      <c r="F33" s="24"/>
      <c r="G33" t="s">
        <v>30</v>
      </c>
    </row>
    <row r="34" spans="3:7" x14ac:dyDescent="0.25">
      <c r="C34" s="11" t="s">
        <v>33</v>
      </c>
      <c r="D34" s="20">
        <f>F18/$F$22*16.01</f>
        <v>5.8878405876222146</v>
      </c>
      <c r="E34" s="28" t="s">
        <v>35</v>
      </c>
      <c r="F34" s="24"/>
      <c r="G34" t="s">
        <v>34</v>
      </c>
    </row>
  </sheetData>
  <mergeCells count="9">
    <mergeCell ref="E33:F33"/>
    <mergeCell ref="E27:F27"/>
    <mergeCell ref="E34:F34"/>
    <mergeCell ref="C22:D22"/>
    <mergeCell ref="E28:F28"/>
    <mergeCell ref="E29:F29"/>
    <mergeCell ref="E30:F30"/>
    <mergeCell ref="E31:F31"/>
    <mergeCell ref="E32:F3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the Sunshine Coast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Holmes</dc:creator>
  <cp:lastModifiedBy>Doug Chesher</cp:lastModifiedBy>
  <dcterms:created xsi:type="dcterms:W3CDTF">2016-08-20T00:32:18Z</dcterms:created>
  <dcterms:modified xsi:type="dcterms:W3CDTF">2026-08-06T04:39:37Z</dcterms:modified>
</cp:coreProperties>
</file>