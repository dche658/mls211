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15" yWindow="1500" windowWidth="2052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vertical="center" wrapText="1"/>
      <protection locked="0" hidden="0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/>
    </xf>
    <xf numFmtId="0" fontId="1" fillId="3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" fontId="0" fillId="0" borderId="1" applyAlignment="1" pivotButton="0" quotePrefix="1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6"/>
            <spPr>
              <a:solidFill>
                <a:schemeClr val="tx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intercept val="0"/>
            <dispRSqr val="1"/>
            <dispEq val="1"/>
            <trendlineLbl>
              <layout>
                <manualLayout>
                  <wMode val="factor"/>
                  <hMode val="factor"/>
                  <x val="-0.06260411198600176"/>
                  <y val="-0.0121735046277110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</trendlineLbl>
          </trendline>
          <xVal>
            <numRef>
              <f>Sheet1!$B$6:$B$11</f>
              <numCache>
                <formatCode>0.00</formatCode>
                <ptCount val="6"/>
                <pt idx="0">
                  <v>0</v>
                </pt>
                <pt idx="1">
                  <v>0.1</v>
                </pt>
                <pt idx="2">
                  <v>0.2</v>
                </pt>
                <pt idx="3">
                  <v>0.5</v>
                </pt>
                <pt idx="4">
                  <v>0.8</v>
                </pt>
                <pt idx="5">
                  <v>1</v>
                </pt>
              </numCache>
            </numRef>
          </xVal>
          <yVal>
            <numRef>
              <f>Sheet1!$F$6:$F$11</f>
              <numCache>
                <formatCode>0.000</formatCode>
                <ptCount val="6"/>
                <pt idx="0">
                  <v>0</v>
                </pt>
                <pt idx="1">
                  <v>0.2055</v>
                </pt>
                <pt idx="2">
                  <v>0.398</v>
                </pt>
                <pt idx="3">
                  <v>0.984</v>
                </pt>
                <pt idx="4">
                  <v>1.6085</v>
                </pt>
                <pt idx="5">
                  <v>2.03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5755328"/>
        <axId val="215922800"/>
      </scatterChart>
      <valAx>
        <axId val="215755328"/>
        <scaling>
          <orientation val="minMax"/>
          <max val="1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 b="1">
                    <a:solidFill>
                      <a:sysClr val="windowText" lastClr="000000"/>
                    </a:solidFill>
                  </a:rPr>
                  <a:t>Glucose Concentration (mmol/L)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047626859142607"/>
              <y val="0.8961574074074072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out"/>
        <minorTickMark val="none"/>
        <tickLblPos val="nextTo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5922800"/>
        <crosses val="autoZero"/>
        <crossBetween val="midCat"/>
      </valAx>
      <valAx>
        <axId val="215922800"/>
        <scaling>
          <orientation val="minMax"/>
          <max val="2.5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 b="1">
                    <a:solidFill>
                      <a:sysClr val="windowText" lastClr="000000"/>
                    </a:solidFill>
                  </a:rPr>
                  <a:t>Absorbance</a:t>
                </a:r>
                <a:r>
                  <a:rPr lang="en-AU" sz="1100" b="1" baseline="0">
                    <a:solidFill>
                      <a:sysClr val="windowText" lastClr="000000"/>
                    </a:solidFill>
                  </a:rPr>
                  <a:t xml:space="preserve"> (Units) at 405 nm</a:t>
                </a:r>
                <a:endParaRPr lang="en-AU" sz="1100" b="1">
                  <a:solidFill>
                    <a:sysClr val="windowText" lastClr="000000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01388888888888889"/>
              <y val="0.1772569325573434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.000" sourceLinked="1"/>
        <majorTickMark val="out"/>
        <minorTickMark val="none"/>
        <tickLblPos val="nextTo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5755328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7620</colOff>
      <row>3</row>
      <rowOff>160020</rowOff>
    </from>
    <to>
      <col>14</col>
      <colOff>312420</colOff>
      <row>19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selection activeCell="F22" sqref="F22"/>
    </sheetView>
  </sheetViews>
  <sheetFormatPr baseColWidth="8" defaultRowHeight="15"/>
  <cols>
    <col width="12.28515625" customWidth="1" style="29" min="2" max="2"/>
    <col width="12.7109375" customWidth="1" style="29" min="3" max="5"/>
    <col width="13.7109375" customWidth="1" style="29" min="6" max="6"/>
  </cols>
  <sheetData>
    <row r="1" ht="18.75" customHeight="1" s="29">
      <c r="A1" s="2" t="inlineStr">
        <is>
          <t>Practical 2:  Blood Plasma Glucose Calculator</t>
        </is>
      </c>
      <c r="B1" s="3" t="n"/>
      <c r="C1" s="3" t="n"/>
      <c r="D1" s="3" t="n"/>
      <c r="E1" s="3" t="n"/>
      <c r="F1" s="3" t="n"/>
    </row>
    <row r="3">
      <c r="A3" s="15" t="inlineStr">
        <is>
          <t>Enter your absorbance values into the table below.</t>
        </is>
      </c>
      <c r="B3" s="4" t="n"/>
      <c r="C3" s="4" t="n"/>
      <c r="D3" s="4" t="n"/>
      <c r="E3" s="4" t="n"/>
      <c r="H3" s="15" t="inlineStr">
        <is>
          <t>For the trendline, select intercept at 0, equation for the line, and r2 value</t>
        </is>
      </c>
      <c r="I3" s="4" t="n"/>
      <c r="J3" s="4" t="n"/>
      <c r="K3" s="4" t="n"/>
      <c r="L3" s="4" t="n"/>
      <c r="M3" s="4" t="n"/>
      <c r="N3" s="4" t="n"/>
    </row>
    <row r="5" ht="57.6" customFormat="1" customHeight="1" s="5">
      <c r="A5" s="7" t="inlineStr">
        <is>
          <t>Tube</t>
        </is>
      </c>
      <c r="B5" s="8" t="inlineStr">
        <is>
          <t>Glucose conc. (mmol/L)</t>
        </is>
      </c>
      <c r="C5" s="8" t="inlineStr">
        <is>
          <t>Duplicate Absorbance 1 (Units)</t>
        </is>
      </c>
      <c r="D5" s="8" t="inlineStr">
        <is>
          <t>Duplicate Absorbance 2 (Units)</t>
        </is>
      </c>
      <c r="E5" s="8" t="inlineStr">
        <is>
          <t>Mean Absorbance (Units)</t>
        </is>
      </c>
      <c r="F5" s="8" t="inlineStr">
        <is>
          <t>Mean Blank Adjust Absorbance (Units)</t>
        </is>
      </c>
      <c r="G5" s="9" t="n"/>
    </row>
    <row r="6">
      <c r="A6" s="6" t="inlineStr">
        <is>
          <t>B</t>
        </is>
      </c>
      <c r="B6" s="12" t="n">
        <v>0</v>
      </c>
      <c r="C6" s="10" t="n">
        <v>0.08599999999999999</v>
      </c>
      <c r="D6" s="10" t="n">
        <v>0.091</v>
      </c>
      <c r="E6" s="10">
        <f>(C6+D6)/2</f>
        <v/>
      </c>
      <c r="F6" s="10">
        <f>E6-$E$6</f>
        <v/>
      </c>
    </row>
    <row r="7">
      <c r="A7" s="6" t="inlineStr">
        <is>
          <t>S1</t>
        </is>
      </c>
      <c r="B7" s="12" t="n">
        <v>0.1</v>
      </c>
      <c r="C7" s="10" t="n">
        <v>0.286</v>
      </c>
      <c r="D7" s="10" t="n">
        <v>0.302</v>
      </c>
      <c r="E7" s="10">
        <f>(C7+D7)/2</f>
        <v/>
      </c>
      <c r="F7" s="10">
        <f>E7-$E$6</f>
        <v/>
      </c>
    </row>
    <row r="8">
      <c r="A8" s="6" t="inlineStr">
        <is>
          <t>S2</t>
        </is>
      </c>
      <c r="B8" s="12" t="n">
        <v>0.2</v>
      </c>
      <c r="C8" s="10" t="n">
        <v>0.487</v>
      </c>
      <c r="D8" s="10" t="n">
        <v>0.486</v>
      </c>
      <c r="E8" s="10">
        <f>(C8+D8)/2</f>
        <v/>
      </c>
      <c r="F8" s="10">
        <f>E8-$E$6</f>
        <v/>
      </c>
    </row>
    <row r="9">
      <c r="A9" s="6" t="inlineStr">
        <is>
          <t>S3</t>
        </is>
      </c>
      <c r="B9" s="12" t="n">
        <v>0.5</v>
      </c>
      <c r="C9" s="10" t="n">
        <v>1.062</v>
      </c>
      <c r="D9" s="10" t="n">
        <v>1.083</v>
      </c>
      <c r="E9" s="10">
        <f>(C9+D9)/2</f>
        <v/>
      </c>
      <c r="F9" s="10">
        <f>E9-$E$6</f>
        <v/>
      </c>
    </row>
    <row r="10">
      <c r="A10" s="6" t="inlineStr">
        <is>
          <t>S4</t>
        </is>
      </c>
      <c r="B10" s="12" t="n">
        <v>0.8</v>
      </c>
      <c r="C10" s="10" t="n">
        <v>1.69</v>
      </c>
      <c r="D10" s="10" t="n">
        <v>1.704</v>
      </c>
      <c r="E10" s="10">
        <f>(C10+D10)/2</f>
        <v/>
      </c>
      <c r="F10" s="10">
        <f>E10-$E$6</f>
        <v/>
      </c>
    </row>
    <row r="11">
      <c r="A11" s="6" t="inlineStr">
        <is>
          <t>S5</t>
        </is>
      </c>
      <c r="B11" s="12" t="n">
        <v>1</v>
      </c>
      <c r="C11" s="10" t="n">
        <v>2.091</v>
      </c>
      <c r="D11" s="10" t="n">
        <v>2.146</v>
      </c>
      <c r="E11" s="10">
        <f>(C11+D11)/2</f>
        <v/>
      </c>
      <c r="F11" s="10">
        <f>E11-$E$6</f>
        <v/>
      </c>
    </row>
    <row r="12">
      <c r="A12" s="13" t="n"/>
      <c r="B12" s="13" t="n"/>
      <c r="C12" s="14" t="n"/>
      <c r="D12" s="14" t="n"/>
      <c r="E12" s="14" t="n"/>
      <c r="F12" s="14" t="n"/>
    </row>
    <row r="13">
      <c r="A13" s="6" t="inlineStr">
        <is>
          <t>P1-F</t>
        </is>
      </c>
      <c r="B13" s="6" t="inlineStr">
        <is>
          <t>-</t>
        </is>
      </c>
      <c r="C13" s="10" t="n">
        <v>0.805</v>
      </c>
      <c r="D13" s="10" t="n">
        <v>0.82</v>
      </c>
      <c r="E13" s="10">
        <f>(C13+D13)/2</f>
        <v/>
      </c>
      <c r="F13" s="10">
        <f>E13-$E$6</f>
        <v/>
      </c>
    </row>
    <row r="14">
      <c r="A14" s="6" t="inlineStr">
        <is>
          <t>P1-60</t>
        </is>
      </c>
      <c r="B14" s="6" t="inlineStr">
        <is>
          <t>-</t>
        </is>
      </c>
      <c r="C14" s="10" t="n">
        <v>1.776</v>
      </c>
      <c r="D14" s="10" t="n">
        <v>1.812</v>
      </c>
      <c r="E14" s="10">
        <f>(C14+D14)/2</f>
        <v/>
      </c>
      <c r="F14" s="10">
        <f>E14-$E$6</f>
        <v/>
      </c>
    </row>
    <row r="15">
      <c r="A15" s="6" t="inlineStr">
        <is>
          <t>P1-120</t>
        </is>
      </c>
      <c r="B15" s="6" t="inlineStr">
        <is>
          <t>-</t>
        </is>
      </c>
      <c r="C15" s="10" t="n">
        <v>1.224</v>
      </c>
      <c r="D15" s="10" t="n">
        <v>1.297</v>
      </c>
      <c r="E15" s="10">
        <f>(C15+D15)/2</f>
        <v/>
      </c>
      <c r="F15" s="10">
        <f>E15-$E$6</f>
        <v/>
      </c>
    </row>
    <row r="16">
      <c r="A16" s="6" t="inlineStr">
        <is>
          <t>P2-F</t>
        </is>
      </c>
      <c r="B16" s="6" t="inlineStr">
        <is>
          <t>-</t>
        </is>
      </c>
      <c r="C16" s="10" t="n">
        <v>1.019</v>
      </c>
      <c r="D16" s="10" t="n">
        <v>1.036</v>
      </c>
      <c r="E16" s="10">
        <f>(C16+D16)/2</f>
        <v/>
      </c>
      <c r="F16" s="10">
        <f>E16-$E$6</f>
        <v/>
      </c>
    </row>
    <row r="17">
      <c r="A17" s="6" t="inlineStr">
        <is>
          <t>P2-120</t>
        </is>
      </c>
      <c r="B17" s="6" t="inlineStr">
        <is>
          <t>-</t>
        </is>
      </c>
      <c r="C17" s="10" t="n">
        <v>1.539</v>
      </c>
      <c r="D17" s="10" t="n">
        <v>1.527</v>
      </c>
      <c r="E17" s="10">
        <f>(C17+D17)/2</f>
        <v/>
      </c>
      <c r="F17" s="10">
        <f>E17-$E$6</f>
        <v/>
      </c>
    </row>
    <row r="18">
      <c r="A18" s="6" t="inlineStr">
        <is>
          <t>QC</t>
        </is>
      </c>
      <c r="B18" s="6" t="inlineStr">
        <is>
          <t>-</t>
        </is>
      </c>
      <c r="C18" s="10" t="n">
        <v>0.836</v>
      </c>
      <c r="D18" s="10" t="n">
        <v>0.823</v>
      </c>
      <c r="E18" s="10">
        <f>(C18+D18)/2</f>
        <v/>
      </c>
      <c r="F18" s="10">
        <f>E18-$E$6</f>
        <v/>
      </c>
    </row>
    <row r="19">
      <c r="A19" s="22" t="n"/>
      <c r="B19" s="22" t="n"/>
      <c r="C19" s="23" t="n"/>
      <c r="D19" s="23" t="n"/>
      <c r="E19" s="23" t="n"/>
      <c r="F19" s="23" t="n"/>
    </row>
    <row r="20">
      <c r="H20" s="1" t="inlineStr">
        <is>
          <t>Standard curve for glucose.</t>
        </is>
      </c>
    </row>
    <row r="22" ht="18.75" customHeight="1" s="29">
      <c r="C22" s="28" t="inlineStr">
        <is>
          <t>Enter your gradient here:</t>
        </is>
      </c>
      <c r="E22" s="21" t="inlineStr">
        <is>
          <t>y =</t>
        </is>
      </c>
      <c r="F22" s="19" t="n">
        <v>2.014922680412371</v>
      </c>
      <c r="G22" s="17" t="inlineStr">
        <is>
          <t>x</t>
        </is>
      </c>
    </row>
    <row r="23">
      <c r="F23" s="16" t="inlineStr">
        <is>
          <t>Gradient</t>
        </is>
      </c>
    </row>
    <row r="25">
      <c r="C25" s="1" t="inlineStr">
        <is>
          <t xml:space="preserve">Table showing final concentrations for patient and control samples </t>
        </is>
      </c>
    </row>
    <row r="27">
      <c r="C27" s="27" t="inlineStr">
        <is>
          <t>Sample</t>
        </is>
      </c>
      <c r="D27" s="27" t="inlineStr">
        <is>
          <t>Concentration</t>
        </is>
      </c>
      <c r="E27" s="27" t="inlineStr">
        <is>
          <t>Reference or Expected</t>
        </is>
      </c>
      <c r="F27" s="25" t="n"/>
    </row>
    <row r="28">
      <c r="C28" s="27" t="n"/>
      <c r="D28" s="27" t="inlineStr">
        <is>
          <t>(mmol/L)</t>
        </is>
      </c>
      <c r="E28" s="27" t="inlineStr">
        <is>
          <t>Values (mmol/L)</t>
        </is>
      </c>
      <c r="F28" s="25" t="n"/>
    </row>
    <row r="29">
      <c r="C29" s="6" t="inlineStr">
        <is>
          <t>P1-F</t>
        </is>
      </c>
      <c r="D29" s="20">
        <f>F13/$F$22*16.01</f>
        <v/>
      </c>
      <c r="E29" s="26" t="n"/>
      <c r="F29" s="25" t="n"/>
      <c r="G29" t="inlineStr">
        <is>
          <t>Enter OGTT reference value from MLS211 Course Manual</t>
        </is>
      </c>
    </row>
    <row r="30">
      <c r="C30" s="6" t="inlineStr">
        <is>
          <t>P1-60</t>
        </is>
      </c>
      <c r="D30" s="20">
        <f>F14/$F$22*16.01</f>
        <v/>
      </c>
      <c r="E30" s="26" t="n"/>
      <c r="F30" s="25" t="n"/>
      <c r="G30" t="inlineStr">
        <is>
          <t>Enter OGTT reference value from MLS211 Course Manual</t>
        </is>
      </c>
    </row>
    <row r="31">
      <c r="C31" s="6" t="inlineStr">
        <is>
          <t>P1-120</t>
        </is>
      </c>
      <c r="D31" s="20">
        <f>F15/$F$22*16.01</f>
        <v/>
      </c>
      <c r="E31" s="26" t="n"/>
      <c r="F31" s="25" t="n"/>
      <c r="G31" t="inlineStr">
        <is>
          <t>Enter OGTT reference value from MLS211 Course Manual</t>
        </is>
      </c>
    </row>
    <row r="32">
      <c r="C32" s="6" t="inlineStr">
        <is>
          <t>P2-F</t>
        </is>
      </c>
      <c r="D32" s="20">
        <f>F16/$F$22*16.01</f>
        <v/>
      </c>
      <c r="E32" s="26" t="n"/>
      <c r="F32" s="25" t="n"/>
      <c r="G32" t="inlineStr">
        <is>
          <t>Enter OGTT reference value from MLS211 Course Manual</t>
        </is>
      </c>
    </row>
    <row r="33">
      <c r="C33" s="6" t="inlineStr">
        <is>
          <t>P2-120</t>
        </is>
      </c>
      <c r="D33" s="20">
        <f>F17/$F$22*16.01</f>
        <v/>
      </c>
      <c r="E33" s="26" t="n"/>
      <c r="F33" s="25" t="n"/>
      <c r="G33" t="inlineStr">
        <is>
          <t>Enter OGTT reference value from MLS211 Course Manual</t>
        </is>
      </c>
    </row>
    <row r="34">
      <c r="C34" s="26" t="inlineStr">
        <is>
          <t>QC</t>
        </is>
      </c>
      <c r="D34" s="20">
        <f>F18/$F$22*16.01</f>
        <v/>
      </c>
      <c r="E34" s="24" t="inlineStr">
        <is>
          <t>4 - 6</t>
        </is>
      </c>
      <c r="F34" s="25" t="n"/>
      <c r="G34" t="inlineStr">
        <is>
          <t>Provide expected values for plasma quality control</t>
        </is>
      </c>
    </row>
  </sheetData>
  <mergeCells count="9">
    <mergeCell ref="E34:F34"/>
    <mergeCell ref="E30:F30"/>
    <mergeCell ref="E29:F29"/>
    <mergeCell ref="E32:F32"/>
    <mergeCell ref="E33:F33"/>
    <mergeCell ref="E27:F27"/>
    <mergeCell ref="E28:F28"/>
    <mergeCell ref="C22:D22"/>
    <mergeCell ref="E31:F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Holmes</dc:creator>
  <dcterms:created xsi:type="dcterms:W3CDTF">2016-08-20T00:32:18Z</dcterms:created>
  <dcterms:modified xsi:type="dcterms:W3CDTF">2026-08-13T00:39:25Z</dcterms:modified>
  <cp:lastModifiedBy>Doug Chesher</cp:lastModifiedBy>
</cp:coreProperties>
</file>